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Scale Gates" sheetId="3" state="visible" r:id="rId5"/>
    <sheet name="Company Facts" sheetId="4" state="visible" r:id="rId6"/>
    <sheet name="Assumptions" sheetId="5" state="visible" r:id="rId7"/>
    <sheet name="Mod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<sst xmlns="http://schemas.openxmlformats.org/spreadsheetml/2006/main" count="281" uniqueCount="185">
  <si>
    <t xml:space="preserve">Destination Pet: business case for a connected-care data platform</t>
  </si>
  <si>
    <t xml:space="preserve">Prepared as a portfolio exercise by Chris Lavelle, from public information only. Not affiliated with or reviewed by Destination Pet.</t>
  </si>
  <si>
    <t xml:space="preserve">The question</t>
  </si>
  <si>
    <t xml:space="preserve">What is a data and analytics platform worth to Destination Pet, given that it owns every location and therefore its own data?</t>
  </si>
  <si>
    <t xml:space="preserve">How ownership changes the case</t>
  </si>
  <si>
    <t xml:space="preserve">1. No partner incentives: the largest variable cost in the partner-network version of this model disappears.</t>
  </si>
  <si>
    <t xml:space="preserve">2. Most value is internal: staffing, cross-selling across Connected Care services, and clinical quality, which raise EBITDA directly and therefore exit value.</t>
  </si>
  <si>
    <t xml:space="preserve">3. External data sales are possible but gated by scale; some products (rare drug-safety studies) need far more veterinary volume than one company has.</t>
  </si>
  <si>
    <t xml:space="preserve">4. New costs appear instead: unifying systems across acquired brands, and consent and privacy work.</t>
  </si>
  <si>
    <t xml:space="preserve">How to use</t>
  </si>
  <si>
    <t xml:space="preserve">Edit blue cells on the Assumptions sheet. Peach cells are company facts to confirm with Destination Pet finance and operations. Yellow cells are the key levers.</t>
  </si>
  <si>
    <t xml:space="preserve">The Summary sheet shows all three scenarios; the Model sheet shows the year-by-year build.</t>
  </si>
  <si>
    <t xml:space="preserve">Important</t>
  </si>
  <si>
    <t xml:space="preserve">Operating inputs (labor cost, customers and patients per location, prices, the number of veterinary locations) are ILLUSTRATIVE PLACEHOLDERS. Effect sizes from TailSignal come from simulated data and carry a realization haircut. Replace inputs with company data before any decision.</t>
  </si>
  <si>
    <t xml:space="preserve">Summary by scenario</t>
  </si>
  <si>
    <t xml:space="preserve">Placeholders drive these results; see Read Me.</t>
  </si>
  <si>
    <t xml:space="preserve">Measure</t>
  </si>
  <si>
    <t xml:space="preserve">Low</t>
  </si>
  <si>
    <t xml:space="preserve">Base</t>
  </si>
  <si>
    <t xml:space="preserve">High</t>
  </si>
  <si>
    <t xml:space="preserve">Internal value, Year 5 (EBITDA)</t>
  </si>
  <si>
    <t xml:space="preserve">External data revenue, Year 5</t>
  </si>
  <si>
    <t xml:space="preserve">Platform cost, Year 5</t>
  </si>
  <si>
    <t xml:space="preserve">Net EBITDA impact, Year 5</t>
  </si>
  <si>
    <t xml:space="preserve">Cumulative net impact, Years 1-5</t>
  </si>
  <si>
    <t xml:space="preserve">Enterprise value from Year-5 net impact (x exit multiple)</t>
  </si>
  <si>
    <t xml:space="preserve">Payback year (cumulative impact turns positive)</t>
  </si>
  <si>
    <t xml:space="preserve">Where Year-5 value comes from (Base)</t>
  </si>
  <si>
    <t xml:space="preserve">Amount ($)</t>
  </si>
  <si>
    <t xml:space="preserve">Share of gross value</t>
  </si>
  <si>
    <t xml:space="preserve">Staffing savings</t>
  </si>
  <si>
    <t xml:space="preserve">Connected Care cross-sell</t>
  </si>
  <si>
    <t xml:space="preserve">Dental capture</t>
  </si>
  <si>
    <t xml:space="preserve">Membership retention</t>
  </si>
  <si>
    <t xml:space="preserve">Data licenses</t>
  </si>
  <si>
    <t xml:space="preserve">Research reports</t>
  </si>
  <si>
    <t xml:space="preserve">Common side-effect studies</t>
  </si>
  <si>
    <t xml:space="preserve">Rare side-effect studies</t>
  </si>
  <si>
    <t xml:space="preserve">What one owned network can and cannot unlock</t>
  </si>
  <si>
    <t xml:space="preserve">Capability</t>
  </si>
  <si>
    <t xml:space="preserve">Needs</t>
  </si>
  <si>
    <t xml:space="preserve">Year reached (Base)</t>
  </si>
  <si>
    <t xml:space="preserve">Base, Year 5</t>
  </si>
  <si>
    <t xml:space="preserve">Implication</t>
  </si>
  <si>
    <t xml:space="preserve">Data licenses (pets observed per year)</t>
  </si>
  <si>
    <t xml:space="preserve">Reached early: owning every channel gives volume quickly</t>
  </si>
  <si>
    <t xml:space="preserve">Common side-effect studies (dog records, 4 yrs)</t>
  </si>
  <si>
    <t xml:space="preserve">Depends on veterinary volume, not resort volume</t>
  </si>
  <si>
    <t xml:space="preserve">Rare side-effect studies (dog records, 4 yrs)</t>
  </si>
  <si>
    <t xml:space="preserve">Likely needs a research partner or consortium beyond one company</t>
  </si>
  <si>
    <t xml:space="preserve">Fact</t>
  </si>
  <si>
    <t xml:space="preserve">Value</t>
  </si>
  <si>
    <t xml:space="preserve">Source</t>
  </si>
  <si>
    <t xml:space="preserve">Services</t>
  </si>
  <si>
    <t xml:space="preserve">Boarding, daycare, grooming, training, veterinary care</t>
  </si>
  <si>
    <t xml:space="preserve">https://www.destinationpet.com/about-us/about/</t>
  </si>
  <si>
    <t xml:space="preserve">Operating model</t>
  </si>
  <si>
    <t xml:space="preserve">Connected Care across services; Yourgi pet app</t>
  </si>
  <si>
    <t xml:space="preserve">Locations</t>
  </si>
  <si>
    <t xml:space="preserve">160+ in more than 31 states (June 2023)</t>
  </si>
  <si>
    <t xml:space="preserve">https://www.prnewswire.com/news-releases/destination-pet-strengthens-position-in-the-pet-care-industry-with-pet-palace-acquisition-301856956.html</t>
  </si>
  <si>
    <t xml:space="preserve">Acquisition example</t>
  </si>
  <si>
    <t xml:space="preserve">Pet Palace: 11 facilities, 500+ employees (June 2023)</t>
  </si>
  <si>
    <t xml:space="preserve">Same press release</t>
  </si>
  <si>
    <t xml:space="preserve">Owner</t>
  </si>
  <si>
    <t xml:space="preserve">LetterOne (acquired November 2019)</t>
  </si>
  <si>
    <t xml:space="preserve">https://www.cbinsights.com/company/destination-pet</t>
  </si>
  <si>
    <t xml:space="preserve">2025 performance</t>
  </si>
  <si>
    <t xml:space="preserve">Return to full-year profitability; revenue ahead of plan; M&amp;A accretive</t>
  </si>
  <si>
    <t xml:space="preserve">https://letterone.com/news-and-insights/2025-year-in-review-l1-health/</t>
  </si>
  <si>
    <t xml:space="preserve">Yourgi app</t>
  </si>
  <si>
    <t xml:space="preserve">Gross booking value growing &gt;100% a year; became a two-sided marketplace in November 2025</t>
  </si>
  <si>
    <t xml:space="preserve">Same LetterOne review</t>
  </si>
  <si>
    <t xml:space="preserve">Not public (confirm)</t>
  </si>
  <si>
    <t xml:space="preserve">Number of veterinary locations, revenue and labor cost per location, active pets</t>
  </si>
  <si>
    <t xml:space="preserve">Inputs on the Assumptions sheet are placeholders</t>
  </si>
  <si>
    <t xml:space="preserve">Assumptions</t>
  </si>
  <si>
    <t xml:space="preserve">Blue = input · peach fill = company fact to confirm · yellow fill = key lever</t>
  </si>
  <si>
    <t xml:space="preserve">Scenarios</t>
  </si>
  <si>
    <t xml:space="preserve">Scenario</t>
  </si>
  <si>
    <t xml:space="preserve">Value effects ×</t>
  </si>
  <si>
    <t xml:space="preserve">External prices ×</t>
  </si>
  <si>
    <t xml:space="preserve">Note</t>
  </si>
  <si>
    <t xml:space="preserve">Value effects scale every internal benefit; prices scale every external sale</t>
  </si>
  <si>
    <t xml:space="preserve">Network (company facts to confirm)</t>
  </si>
  <si>
    <t xml:space="preserve">Locations (all service types)</t>
  </si>
  <si>
    <t xml:space="preserve">Public: 160+ (June 2023 press release)</t>
  </si>
  <si>
    <t xml:space="preserve">Locations with a veterinary clinic</t>
  </si>
  <si>
    <t xml:space="preserve">Not public; placeholder</t>
  </si>
  <si>
    <t xml:space="preserve">Unique pets served per location per year</t>
  </si>
  <si>
    <t xml:space="preserve">Dogs with veterinary records per vet clinic per year</t>
  </si>
  <si>
    <t xml:space="preserve">Daycare and boarding labor cost per location ($ per year)</t>
  </si>
  <si>
    <t xml:space="preserve">Share of resort customers not using a company vet</t>
  </si>
  <si>
    <t xml:space="preserve">Rollout</t>
  </si>
  <si>
    <t xml:space="preserve">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</si>
  <si>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</si>
  <si>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</si>
  <si>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</si>
  <si>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</si>
  <si>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</si>
  <si>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Share of locations live on the platform</t>
  </si>
  <si>
    <t xml:space="preserve">Systems from acquired brands unified over two to three years</t>
  </si>
  <si>
    <t xml:space="preserve">Internal value drivers (effects from TailSignal, with a realization haircut)</t>
  </si>
  <si>
    <t xml:space="preserve">Driver</t>
  </si>
  <si>
    <t xml:space="preserve">Evidence</t>
  </si>
  <si>
    <t xml:space="preserve">Daycare staffing cost reduction from demand forecasting</t>
  </si>
  <si>
    <t xml:space="preserve">TailSignal backtest, simulated data: 7% lower staffing cost than the seasonal baseline (docs/analytics_results.md)</t>
  </si>
  <si>
    <t xml:space="preserve">Realization of simulated effects in practice</t>
  </si>
  <si>
    <t xml:space="preserve">Haircut for moving from simulation to operations</t>
  </si>
  <si>
    <t xml:space="preserve">Extra conversion of resort customers to company vet care (points)</t>
  </si>
  <si>
    <t xml:space="preserve">Assumption: targeted Connected Care offers from daycare, boarding and grooming records</t>
  </si>
  <si>
    <t xml:space="preserve">Annual veterinary revenue per new client ($)</t>
  </si>
  <si>
    <t xml:space="preserve">Placeholder</t>
  </si>
  <si>
    <t xml:space="preserve">Contribution margin on added veterinary revenue</t>
  </si>
  <si>
    <t xml:space="preserve">Extra dental cleanings per vet clinic per year from better charting</t>
  </si>
  <si>
    <t xml:space="preserve">TailSignal: under-charting clinics record 35-43% less dental disease; bring them to the median</t>
  </si>
  <si>
    <t xml:space="preserve">Average dental cleaning price ($)</t>
  </si>
  <si>
    <t xml:space="preserve">Contribution margin on dental cleanings</t>
  </si>
  <si>
    <t xml:space="preserve">Membership retention benefit per location ($ per year)</t>
  </si>
  <si>
    <t xml:space="preserve">TailSignal reminder-targeting pilot was inconclusive; set to zero until a larger pilot proves it</t>
  </si>
  <si>
    <t xml:space="preserve">External data revenue (illustrative prices)</t>
  </si>
  <si>
    <t xml:space="preserve">Basis</t>
  </si>
  <si>
    <t xml:space="preserve">Data-license annual contract value ($)</t>
  </si>
  <si>
    <t xml:space="preserve">De-identified cohort, Pet Health Index, service benchmarks</t>
  </si>
  <si>
    <t xml:space="preserve">Pets observed per year needed before licensing</t>
  </si>
  <si>
    <t xml:space="preserve">Privacy: 8% of pets suppressed at ~12,700 pets; assume ~8x that for clean releases</t>
  </si>
  <si>
    <t xml:space="preserve">Research report average price ($)</t>
  </si>
  <si>
    <t xml:space="preserve">Pet food, dental-care and drug makers</t>
  </si>
  <si>
    <t xml:space="preserve">Signal-validation study price ($ per study)</t>
  </si>
  <si>
    <t xml:space="preserve">Drug-safety study for a manufacturer</t>
  </si>
  <si>
    <t xml:space="preserve">Dog records needed for common side-effect studies (4-year window)</t>
  </si>
  <si>
    <t xml:space="preserve">TailSignal Model A2: ~80x a 9,900-dog network</t>
  </si>
  <si>
    <t xml:space="preserve">Dog records needed for rare side-effect studies (4-year window)</t>
  </si>
  <si>
    <t xml:space="preserve">TailSignal Model A2: ~130x a 9,900-dog network</t>
  </si>
  <si>
    <t xml:space="preserve">Study delivery cost (% of study revenue)</t>
  </si>
  <si>
    <t xml:space="preserve">Clinical review and annotation</t>
  </si>
  <si>
    <t xml:space="preserve">Volume by year</t>
  </si>
  <si>
    <t xml:space="preserve">Data licensees</t>
  </si>
  <si>
    <t xml:space="preserve">Sold only once the license gate is met</t>
  </si>
  <si>
    <t xml:space="preserve">Research reports sold</t>
  </si>
  <si>
    <t xml:space="preserve">Common side-effect studies (if gate met)</t>
  </si>
  <si>
    <t xml:space="preserve">Rare side-effect studies (if gate met)</t>
  </si>
  <si>
    <t xml:space="preserve">Costs</t>
  </si>
  <si>
    <t xml:space="preserve">Loaded cost per data-team employee ($ per year)</t>
  </si>
  <si>
    <t xml:space="preserve">System integration cost per location (one-time, $)</t>
  </si>
  <si>
    <t xml:space="preserve">Unify practice-management and booking systems from acquired brands</t>
  </si>
  <si>
    <t xml:space="preserve">Cloud and tooling, fixed ($ per year)</t>
  </si>
  <si>
    <t xml:space="preserve">Cloud and tooling per live location ($ per year)</t>
  </si>
  <si>
    <t xml:space="preserve">Privacy, consent and legal ($ per year)</t>
  </si>
  <si>
    <t xml:space="preserve">Customer consent for de-identified use; data-sale contracts</t>
  </si>
  <si>
    <t xml:space="preserve">Headcount by year</t>
  </si>
  <si>
    <t xml:space="preserve">Data team headcount</t>
  </si>
  <si>
    <t xml:space="preserve">Data science, data engineering, analytics product, privacy</t>
  </si>
  <si>
    <t xml:space="preserve">Valuation</t>
  </si>
  <si>
    <t xml:space="preserve">EV / EBITDA exit multiple applied to run-rate uplift</t>
  </si>
  <si>
    <t xml:space="preserve">Placeholder for a PE-owned multi-site pet services business; confirm with the deal team</t>
  </si>
  <si>
    <t xml:space="preserve">Five-year build by scenario ($)</t>
  </si>
  <si>
    <t xml:space="preserve">All cells are formulas driven by the Assumptions sheet.</t>
  </si>
  <si>
    <t xml:space="preserve">Low scenario</t>
  </si>
  <si>
    <t xml:space="preserve">Line</t>
  </si>
  <si>
    <t xml:space="preserve">Live locations</t>
  </si>
  <si>
    <t xml:space="preserve">Live vet clinics</t>
  </si>
  <si>
    <t xml:space="preserve">Pets observed per year</t>
  </si>
  <si>
    <t xml:space="preserve">Dog veterinary records, trailing 4 years (study window)</t>
  </si>
  <si>
    <t xml:space="preserve">Internal: daycare and boarding staffing savings</t>
  </si>
  <si>
    <t xml:space="preserve">Internal: Connected Care cross-sell to vet (contribution)</t>
  </si>
  <si>
    <t xml:space="preserve">Internal: dental capture (contribution)</t>
  </si>
  <si>
    <t xml:space="preserve">Internal: membership retention</t>
  </si>
  <si>
    <t xml:space="preserve">Internal value (EBITDA)</t>
  </si>
  <si>
    <t xml:space="preserve">External: data licenses</t>
  </si>
  <si>
    <t xml:space="preserve">External: research reports</t>
  </si>
  <si>
    <t xml:space="preserve">External: common side-effect studies</t>
  </si>
  <si>
    <t xml:space="preserve">External: rare side-effect studies</t>
  </si>
  <si>
    <t xml:space="preserve">External revenue</t>
  </si>
  <si>
    <t xml:space="preserve">Data team</t>
  </si>
  <si>
    <t xml:space="preserve">System integration (one-time, newly live locations)</t>
  </si>
  <si>
    <t xml:space="preserve">Cloud and tooling</t>
  </si>
  <si>
    <t xml:space="preserve">Privacy, consent and legal</t>
  </si>
  <si>
    <t xml:space="preserve">Study delivery</t>
  </si>
  <si>
    <t xml:space="preserve">Total platform cost</t>
  </si>
  <si>
    <t xml:space="preserve">Net EBITDA impact</t>
  </si>
  <si>
    <t xml:space="preserve">Cumulative net impact</t>
  </si>
  <si>
    <t xml:space="preserve">Helper: year number if cumulative impact positive (else 99)</t>
  </si>
  <si>
    <t xml:space="preserve">Base scenario</t>
  </si>
  <si>
    <t xml:space="preserve">High scenario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</si>
</sst>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0.00\x"/>
    <numFmt numFmtId="169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DF3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8EDF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7C3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CE4D6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23.85" hidden="false" customHeight="false" outlineLevel="0" collapsed="false">
      <c r="A9" s="3" t="s">
        <v>6</v>
      </c>
    </row>
    <row r="10" customFormat="false" ht="23.8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23.8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12</v>
      </c>
    </row>
    <row r="18" customFormat="false" ht="35.05" hidden="false" customHeight="false" outlineLevel="0" collapsed="false">
      <c r="A18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6" t="s">
        <v>14</v>
      </c>
    </row>
    <row r="2" customFormat="false" ht="15" hidden="false" customHeight="false" outlineLevel="0" collapsed="false">
      <c r="A2" s="7" t="s">
        <v>15</v>
      </c>
    </row>
    <row r="4" customFormat="false" ht="15" hidden="false" customHeight="false" outlineLevel="0" collapsed="false">
      <c r="A4" s="8" t="s">
        <v>16</v>
      </c>
      <c r="B4" s="9" t="s">
        <v>17</v>
      </c>
      <c r="C4" s="9" t="s">
        <v>18</v>
      </c>
      <c r="D4" s="9" t="s">
        <v>19</v>
      </c>
    </row>
    <row r="5" customFormat="false" ht="15" hidden="false" customHeight="false" outlineLevel="0" collapsed="false">
      <c r="A5" s="10" t="s">
        <v>20</v>
      </c>
      <c r="B5" s="11" t="n">
        <f aca="false">Model!F14</f>
        <v>2316400</v>
      </c>
      <c r="C5" s="11" t="n">
        <f aca="false">Model!F40</f>
        <v>4632800</v>
      </c>
      <c r="D5" s="11" t="n">
        <f aca="false">Model!F66</f>
        <v>6485920</v>
      </c>
    </row>
    <row r="6" customFormat="false" ht="15" hidden="false" customHeight="false" outlineLevel="0" collapsed="false">
      <c r="A6" s="10" t="s">
        <v>21</v>
      </c>
      <c r="B6" s="11" t="n">
        <f aca="false">Model!F19</f>
        <v>768000</v>
      </c>
      <c r="C6" s="11" t="n">
        <f aca="false">Model!F45</f>
        <v>960000</v>
      </c>
      <c r="D6" s="11" t="n">
        <f aca="false">Model!F71</f>
        <v>1104000</v>
      </c>
    </row>
    <row r="7" customFormat="false" ht="15" hidden="false" customHeight="false" outlineLevel="0" collapsed="false">
      <c r="A7" s="10" t="s">
        <v>22</v>
      </c>
      <c r="B7" s="11" t="n">
        <f aca="false">Model!F25</f>
        <v>2796000</v>
      </c>
      <c r="C7" s="11" t="n">
        <f aca="false">Model!F51</f>
        <v>2796000</v>
      </c>
      <c r="D7" s="11" t="n">
        <f aca="false">Model!F77</f>
        <v>2796000</v>
      </c>
    </row>
    <row r="8" customFormat="false" ht="15" hidden="false" customHeight="false" outlineLevel="0" collapsed="false">
      <c r="A8" s="10" t="s">
        <v>23</v>
      </c>
      <c r="B8" s="11" t="n">
        <f aca="false">Model!F26</f>
        <v>288400</v>
      </c>
      <c r="C8" s="11" t="n">
        <f aca="false">Model!F52</f>
        <v>2796800</v>
      </c>
      <c r="D8" s="11" t="n">
        <f aca="false">Model!F78</f>
        <v>4793920</v>
      </c>
    </row>
    <row r="9" customFormat="false" ht="15" hidden="false" customHeight="false" outlineLevel="0" collapsed="false">
      <c r="A9" s="10" t="s">
        <v>24</v>
      </c>
      <c r="B9" s="11" t="n">
        <f aca="false">Model!F27</f>
        <v>-3184600</v>
      </c>
      <c r="C9" s="11" t="n">
        <f aca="false">Model!F53</f>
        <v>5458800</v>
      </c>
      <c r="D9" s="11" t="n">
        <f aca="false">Model!F79</f>
        <v>12346720</v>
      </c>
    </row>
    <row r="10" customFormat="false" ht="15" hidden="false" customHeight="false" outlineLevel="0" collapsed="false">
      <c r="A10" s="12" t="s">
        <v>25</v>
      </c>
      <c r="B10" s="13" t="n">
        <f aca="false">MAX(0,Model!F26)*Assumptions!$B$62</f>
        <v>3460800</v>
      </c>
      <c r="C10" s="13" t="n">
        <f aca="false">MAX(0,Model!F52)*Assumptions!$B$62</f>
        <v>33561600</v>
      </c>
      <c r="D10" s="13" t="n">
        <f aca="false">MAX(0,Model!F78)*Assumptions!$B$62</f>
        <v>57527040</v>
      </c>
    </row>
    <row r="11" customFormat="false" ht="15" hidden="false" customHeight="false" outlineLevel="0" collapsed="false">
      <c r="A11" s="10" t="s">
        <v>26</v>
      </c>
      <c r="B11" s="14" t="str">
        <f aca="false">IF(MIN(Model!B28:F28)=99,"Not within 5 years","Year "&amp;MIN(Model!B28:F28))</f>
        <v>Not within 5 years</v>
      </c>
      <c r="C11" s="14" t="str">
        <f aca="false">IF(MIN(Model!B54:F54)=99,"Not within 5 years","Year "&amp;MIN(Model!B54:F54))</f>
        <v>Year 3</v>
      </c>
      <c r="D11" s="14" t="str">
        <f aca="false">IF(MIN(Model!B80:F80)=99,"Not within 5 years","Year "&amp;MIN(Model!B80:F80))</f>
        <v>Year 2</v>
      </c>
    </row>
    <row r="13" customFormat="false" ht="23.85" hidden="false" customHeight="false" outlineLevel="0" collapsed="false">
      <c r="A13" s="8" t="s">
        <v>27</v>
      </c>
      <c r="B13" s="9" t="s">
        <v>28</v>
      </c>
      <c r="C13" s="9" t="s">
        <v>29</v>
      </c>
    </row>
    <row r="14" customFormat="false" ht="15" hidden="false" customHeight="false" outlineLevel="0" collapsed="false">
      <c r="A14" s="10" t="s">
        <v>30</v>
      </c>
      <c r="B14" s="11" t="n">
        <f aca="false">Model!F36</f>
        <v>3920000</v>
      </c>
      <c r="C14" s="15" t="n">
        <f aca="false">IF(SUM($B$14:$B$21)=0,0,B14/SUM($B$14:$B$21))</f>
        <v>0.700901158632528</v>
      </c>
    </row>
    <row r="15" customFormat="false" ht="15" hidden="false" customHeight="false" outlineLevel="0" collapsed="false">
      <c r="A15" s="10" t="s">
        <v>31</v>
      </c>
      <c r="B15" s="11" t="n">
        <f aca="false">Model!F37</f>
        <v>460800</v>
      </c>
      <c r="C15" s="15" t="n">
        <f aca="false">IF(SUM($B$14:$B$21)=0,0,B15/SUM($B$14:$B$21))</f>
        <v>0.0823916464025175</v>
      </c>
    </row>
    <row r="16" customFormat="false" ht="15" hidden="false" customHeight="false" outlineLevel="0" collapsed="false">
      <c r="A16" s="10" t="s">
        <v>32</v>
      </c>
      <c r="B16" s="11" t="n">
        <f aca="false">Model!F38</f>
        <v>252000</v>
      </c>
      <c r="C16" s="15" t="n">
        <f aca="false">IF(SUM($B$14:$B$21)=0,0,B16/SUM($B$14:$B$21))</f>
        <v>0.0450579316263768</v>
      </c>
    </row>
    <row r="17" customFormat="false" ht="15" hidden="false" customHeight="false" outlineLevel="0" collapsed="false">
      <c r="A17" s="10" t="s">
        <v>33</v>
      </c>
      <c r="B17" s="11" t="n">
        <f aca="false">Model!F39</f>
        <v>0</v>
      </c>
      <c r="C17" s="15" t="n">
        <f aca="false">IF(SUM($B$14:$B$21)=0,0,B17/SUM($B$14:$B$21))</f>
        <v>0</v>
      </c>
    </row>
    <row r="18" customFormat="false" ht="15" hidden="false" customHeight="false" outlineLevel="0" collapsed="false">
      <c r="A18" s="10" t="s">
        <v>34</v>
      </c>
      <c r="B18" s="11" t="n">
        <f aca="false">Model!F41</f>
        <v>720000</v>
      </c>
      <c r="C18" s="15" t="n">
        <f aca="false">IF(SUM($B$14:$B$21)=0,0,B18/SUM($B$14:$B$21))</f>
        <v>0.128736947503934</v>
      </c>
    </row>
    <row r="19" customFormat="false" ht="15" hidden="false" customHeight="false" outlineLevel="0" collapsed="false">
      <c r="A19" s="10" t="s">
        <v>35</v>
      </c>
      <c r="B19" s="11" t="n">
        <f aca="false">Model!F42</f>
        <v>240000</v>
      </c>
      <c r="C19" s="15" t="n">
        <f aca="false">IF(SUM($B$14:$B$21)=0,0,B19/SUM($B$14:$B$21))</f>
        <v>0.0429123158346445</v>
      </c>
    </row>
    <row r="20" customFormat="false" ht="15" hidden="false" customHeight="false" outlineLevel="0" collapsed="false">
      <c r="A20" s="10" t="s">
        <v>36</v>
      </c>
      <c r="B20" s="11" t="n">
        <f aca="false">Model!F43</f>
        <v>0</v>
      </c>
      <c r="C20" s="15" t="n">
        <f aca="false">IF(SUM($B$14:$B$21)=0,0,B20/SUM($B$14:$B$21))</f>
        <v>0</v>
      </c>
    </row>
    <row r="21" customFormat="false" ht="15" hidden="false" customHeight="false" outlineLevel="0" collapsed="false">
      <c r="A21" s="10" t="s">
        <v>37</v>
      </c>
      <c r="B21" s="11" t="n">
        <f aca="false">Model!F44</f>
        <v>0</v>
      </c>
      <c r="C21" s="15" t="n">
        <f aca="false">IF(SUM($B$14:$B$21)=0,0,B21/SUM($B$14:$B$21))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66"/>
  </cols>
  <sheetData>
    <row r="1" customFormat="false" ht="17.35" hidden="false" customHeight="false" outlineLevel="0" collapsed="false">
      <c r="A1" s="6" t="s">
        <v>38</v>
      </c>
    </row>
    <row r="3" customFormat="false" ht="23.85" hidden="false" customHeight="false" outlineLevel="0" collapsed="false">
      <c r="A3" s="8" t="s">
        <v>39</v>
      </c>
      <c r="B3" s="9" t="s">
        <v>40</v>
      </c>
      <c r="C3" s="9" t="s">
        <v>41</v>
      </c>
      <c r="D3" s="9" t="s">
        <v>42</v>
      </c>
      <c r="E3" s="9"/>
      <c r="F3" s="9" t="s">
        <v>43</v>
      </c>
    </row>
    <row r="4" customFormat="false" ht="15" hidden="false" customHeight="false" outlineLevel="0" collapsed="false">
      <c r="A4" s="10" t="s">
        <v>44</v>
      </c>
      <c r="B4" s="16" t="n">
        <f aca="false">Assumptions!$B$37</f>
        <v>100000</v>
      </c>
      <c r="C4" s="17" t="str">
        <f aca="false">IF(Model!B34&gt;=$B4,"Year 1",IF(Model!C34&gt;=$B4,"Year 2",IF(Model!D34&gt;=$B4,"Year 3",IF(Model!E34&gt;=$B4,"Year 4",IF(Model!F34&gt;=$B4,"Year 5","Not in 5 years")))))</f>
        <v>Year 2</v>
      </c>
      <c r="D4" s="16" t="n">
        <f aca="false">Model!F34</f>
        <v>480000</v>
      </c>
      <c r="F4" s="18" t="s">
        <v>45</v>
      </c>
    </row>
    <row r="5" customFormat="false" ht="15" hidden="false" customHeight="false" outlineLevel="0" collapsed="false">
      <c r="A5" s="10" t="s">
        <v>46</v>
      </c>
      <c r="B5" s="16" t="n">
        <f aca="false">Assumptions!$B$40</f>
        <v>792000</v>
      </c>
      <c r="C5" s="17" t="str">
        <f aca="false">IF(Model!B35&gt;=$B5,"Year 1",IF(Model!C35&gt;=$B5,"Year 2",IF(Model!D35&gt;=$B5,"Year 3",IF(Model!E35&gt;=$B5,"Year 4",IF(Model!F35&gt;=$B5,"Year 5","Not in 5 years")))))</f>
        <v>Not in 5 years</v>
      </c>
      <c r="D5" s="16" t="n">
        <f aca="false">Model!F35</f>
        <v>469000</v>
      </c>
      <c r="F5" s="18" t="s">
        <v>47</v>
      </c>
    </row>
    <row r="6" customFormat="false" ht="15" hidden="false" customHeight="false" outlineLevel="0" collapsed="false">
      <c r="A6" s="10" t="s">
        <v>48</v>
      </c>
      <c r="B6" s="16" t="n">
        <f aca="false">Assumptions!$B$41</f>
        <v>1287000</v>
      </c>
      <c r="C6" s="17" t="str">
        <f aca="false">IF(Model!B35&gt;=$B6,"Year 1",IF(Model!C35&gt;=$B6,"Year 2",IF(Model!D35&gt;=$B6,"Year 3",IF(Model!E35&gt;=$B6,"Year 4",IF(Model!F35&gt;=$B6,"Year 5","Not in 5 years")))))</f>
        <v>Not in 5 years</v>
      </c>
      <c r="D6" s="16" t="n">
        <f aca="false">Model!F35</f>
        <v>469000</v>
      </c>
      <c r="F6" s="1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4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50</v>
      </c>
      <c r="B1" s="9" t="s">
        <v>51</v>
      </c>
      <c r="C1" s="9" t="s">
        <v>52</v>
      </c>
    </row>
    <row r="2" customFormat="false" ht="15" hidden="false" customHeight="false" outlineLevel="0" collapsed="false">
      <c r="A2" s="19" t="s">
        <v>53</v>
      </c>
      <c r="B2" s="3" t="s">
        <v>54</v>
      </c>
      <c r="C2" s="2" t="s">
        <v>55</v>
      </c>
    </row>
    <row r="3" customFormat="false" ht="15" hidden="false" customHeight="false" outlineLevel="0" collapsed="false">
      <c r="A3" s="19" t="s">
        <v>56</v>
      </c>
      <c r="B3" s="3" t="s">
        <v>57</v>
      </c>
      <c r="C3" s="2" t="s">
        <v>55</v>
      </c>
    </row>
    <row r="4" customFormat="false" ht="23.85" hidden="false" customHeight="false" outlineLevel="0" collapsed="false">
      <c r="A4" s="19" t="s">
        <v>58</v>
      </c>
      <c r="B4" s="3" t="s">
        <v>59</v>
      </c>
      <c r="C4" s="2" t="s">
        <v>60</v>
      </c>
    </row>
    <row r="5" customFormat="false" ht="15" hidden="false" customHeight="false" outlineLevel="0" collapsed="false">
      <c r="A5" s="19" t="s">
        <v>61</v>
      </c>
      <c r="B5" s="3" t="s">
        <v>62</v>
      </c>
      <c r="C5" s="2" t="s">
        <v>63</v>
      </c>
    </row>
    <row r="6" customFormat="false" ht="15" hidden="false" customHeight="false" outlineLevel="0" collapsed="false">
      <c r="A6" s="19" t="s">
        <v>64</v>
      </c>
      <c r="B6" s="3" t="s">
        <v>65</v>
      </c>
      <c r="C6" s="2" t="s">
        <v>66</v>
      </c>
    </row>
    <row r="7" customFormat="false" ht="23.85" hidden="false" customHeight="false" outlineLevel="0" collapsed="false">
      <c r="A7" s="19" t="s">
        <v>67</v>
      </c>
      <c r="B7" s="3" t="s">
        <v>68</v>
      </c>
      <c r="C7" s="2" t="s">
        <v>69</v>
      </c>
    </row>
    <row r="8" customFormat="false" ht="23.85" hidden="false" customHeight="false" outlineLevel="0" collapsed="false">
      <c r="A8" s="19" t="s">
        <v>70</v>
      </c>
      <c r="B8" s="3" t="s">
        <v>71</v>
      </c>
      <c r="C8" s="2" t="s">
        <v>72</v>
      </c>
    </row>
    <row r="9" customFormat="false" ht="23.85" hidden="false" customHeight="false" outlineLevel="0" collapsed="false">
      <c r="A9" s="19" t="s">
        <v>73</v>
      </c>
      <c r="B9" s="3" t="s">
        <v>74</v>
      </c>
      <c r="C9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3"/>
    <col collapsed="false" customWidth="true" hidden="false" outlineLevel="0" max="7" min="7" style="0" width="78"/>
  </cols>
  <sheetData>
    <row r="1" customFormat="false" ht="17.35" hidden="false" customHeight="false" outlineLevel="0" collapsed="false">
      <c r="A1" s="6" t="s">
        <v>76</v>
      </c>
    </row>
    <row r="2" customFormat="false" ht="15" hidden="false" customHeight="false" outlineLevel="0" collapsed="false">
      <c r="A2" s="18" t="s">
        <v>77</v>
      </c>
    </row>
    <row r="4" customFormat="false" ht="15" hidden="false" customHeight="false" outlineLevel="0" collapsed="false">
      <c r="A4" s="20" t="s">
        <v>78</v>
      </c>
      <c r="B4" s="21"/>
      <c r="C4" s="21"/>
      <c r="D4" s="21"/>
      <c r="E4" s="21"/>
      <c r="F4" s="21"/>
      <c r="G4" s="21"/>
    </row>
    <row r="5" customFormat="false" ht="23.85" hidden="false" customHeight="false" outlineLevel="0" collapsed="false">
      <c r="A5" s="8" t="s">
        <v>79</v>
      </c>
      <c r="B5" s="9" t="s">
        <v>80</v>
      </c>
      <c r="C5" s="9" t="s">
        <v>81</v>
      </c>
      <c r="D5" s="9"/>
      <c r="E5" s="9"/>
      <c r="F5" s="9"/>
      <c r="G5" s="9" t="s">
        <v>82</v>
      </c>
    </row>
    <row r="6" customFormat="false" ht="15" hidden="false" customHeight="false" outlineLevel="0" collapsed="false">
      <c r="A6" s="12" t="s">
        <v>17</v>
      </c>
      <c r="B6" s="22" t="n">
        <v>0.5</v>
      </c>
      <c r="C6" s="22" t="n">
        <v>0.8</v>
      </c>
      <c r="G6" s="18" t="s">
        <v>83</v>
      </c>
    </row>
    <row r="7" customFormat="false" ht="15" hidden="false" customHeight="false" outlineLevel="0" collapsed="false">
      <c r="A7" s="12" t="s">
        <v>18</v>
      </c>
      <c r="B7" s="22" t="n">
        <v>1</v>
      </c>
      <c r="C7" s="22" t="n">
        <v>1</v>
      </c>
    </row>
    <row r="8" customFormat="false" ht="15" hidden="false" customHeight="false" outlineLevel="0" collapsed="false">
      <c r="A8" s="12" t="s">
        <v>19</v>
      </c>
      <c r="B8" s="22" t="n">
        <v>1.4</v>
      </c>
      <c r="C8" s="22" t="n">
        <v>1.15</v>
      </c>
    </row>
    <row r="10" customFormat="false" ht="15" hidden="false" customHeight="false" outlineLevel="0" collapsed="false">
      <c r="A10" s="20" t="s">
        <v>84</v>
      </c>
      <c r="B10" s="21"/>
      <c r="C10" s="21"/>
      <c r="D10" s="21"/>
      <c r="E10" s="21"/>
      <c r="F10" s="21"/>
      <c r="G10" s="21"/>
    </row>
    <row r="11" customFormat="false" ht="15" hidden="false" customHeight="false" outlineLevel="0" collapsed="false">
      <c r="A11" s="10" t="s">
        <v>85</v>
      </c>
      <c r="B11" s="23" t="n">
        <v>160</v>
      </c>
      <c r="G11" s="24" t="s">
        <v>86</v>
      </c>
    </row>
    <row r="12" customFormat="false" ht="15" hidden="false" customHeight="false" outlineLevel="0" collapsed="false">
      <c r="A12" s="10" t="s">
        <v>87</v>
      </c>
      <c r="B12" s="23" t="n">
        <v>40</v>
      </c>
      <c r="G12" s="24" t="s">
        <v>88</v>
      </c>
    </row>
    <row r="13" customFormat="false" ht="15" hidden="false" customHeight="false" outlineLevel="0" collapsed="false">
      <c r="A13" s="10" t="s">
        <v>89</v>
      </c>
      <c r="B13" s="23" t="n">
        <v>3000</v>
      </c>
      <c r="G13" s="24" t="s">
        <v>88</v>
      </c>
    </row>
    <row r="14" customFormat="false" ht="15" hidden="false" customHeight="false" outlineLevel="0" collapsed="false">
      <c r="A14" s="10" t="s">
        <v>90</v>
      </c>
      <c r="B14" s="23" t="n">
        <v>3500</v>
      </c>
      <c r="G14" s="24" t="s">
        <v>88</v>
      </c>
    </row>
    <row r="15" customFormat="false" ht="15" hidden="false" customHeight="false" outlineLevel="0" collapsed="false">
      <c r="A15" s="10" t="s">
        <v>91</v>
      </c>
      <c r="B15" s="25" t="n">
        <v>700000</v>
      </c>
      <c r="G15" s="24" t="s">
        <v>88</v>
      </c>
    </row>
    <row r="16" customFormat="false" ht="15" hidden="false" customHeight="false" outlineLevel="0" collapsed="false">
      <c r="A16" s="10" t="s">
        <v>92</v>
      </c>
      <c r="B16" s="26" t="n">
        <v>0.8</v>
      </c>
      <c r="G16" s="24" t="s">
        <v>88</v>
      </c>
    </row>
    <row r="18" customFormat="false" ht="15" hidden="false" customHeight="false" outlineLevel="0" collapsed="false">
      <c r="A18" s="20" t="s">
        <v>93</v>
      </c>
      <c r="B18" s="21"/>
      <c r="C18" s="21"/>
      <c r="D18" s="21"/>
      <c r="E18" s="21"/>
      <c r="F18" s="21"/>
      <c r="G18" s="21"/>
    </row>
    <row r="19" customFormat="false" ht="15" hidden="false" customHeight="false" outlineLevel="0" collapsed="false">
      <c r="A19" s="8" t="s">
        <v>94</v>
      </c>
      <c r="B19" s="9" t="s">
        <v>95</v>
      </c>
      <c r="C19" s="9" t="s">
        <v>96</v>
      </c>
      <c r="D19" s="9" t="s">
        <v>97</v>
      </c>
      <c r="E19" s="9" t="s">
        <v>98</v>
      </c>
      <c r="F19" s="9" t="s">
        <v>99</v>
      </c>
      <c r="G19" s="9" t="s">
        <v>82</v>
      </c>
    </row>
    <row r="20" customFormat="false" ht="15" hidden="false" customHeight="false" outlineLevel="0" collapsed="false">
      <c r="A20" s="10" t="s">
        <v>100</v>
      </c>
      <c r="B20" s="27" t="n">
        <v>0.15</v>
      </c>
      <c r="C20" s="27" t="n">
        <v>0.5</v>
      </c>
      <c r="D20" s="27" t="n">
        <v>0.85</v>
      </c>
      <c r="E20" s="27" t="n">
        <v>1</v>
      </c>
      <c r="F20" s="27" t="n">
        <v>1</v>
      </c>
      <c r="G20" s="24" t="s">
        <v>101</v>
      </c>
    </row>
    <row r="22" customFormat="false" ht="15" hidden="false" customHeight="false" outlineLevel="0" collapsed="false">
      <c r="A22" s="20" t="s">
        <v>102</v>
      </c>
      <c r="B22" s="21"/>
      <c r="C22" s="21"/>
      <c r="D22" s="21"/>
      <c r="E22" s="21"/>
      <c r="F22" s="21"/>
      <c r="G22" s="21"/>
    </row>
    <row r="23" customFormat="false" ht="15" hidden="false" customHeight="false" outlineLevel="0" collapsed="false">
      <c r="A23" s="8" t="s">
        <v>103</v>
      </c>
      <c r="B23" s="9" t="s">
        <v>51</v>
      </c>
      <c r="C23" s="9"/>
      <c r="D23" s="9"/>
      <c r="E23" s="9"/>
      <c r="F23" s="9"/>
      <c r="G23" s="9" t="s">
        <v>104</v>
      </c>
    </row>
    <row r="24" customFormat="false" ht="23.85" hidden="false" customHeight="false" outlineLevel="0" collapsed="false">
      <c r="A24" s="10" t="s">
        <v>105</v>
      </c>
      <c r="B24" s="28" t="n">
        <v>0.07</v>
      </c>
      <c r="G24" s="24" t="s">
        <v>106</v>
      </c>
    </row>
    <row r="25" customFormat="false" ht="15" hidden="false" customHeight="false" outlineLevel="0" collapsed="false">
      <c r="A25" s="10" t="s">
        <v>107</v>
      </c>
      <c r="B25" s="27" t="n">
        <v>0.5</v>
      </c>
      <c r="G25" s="24" t="s">
        <v>108</v>
      </c>
    </row>
    <row r="26" customFormat="false" ht="15" hidden="false" customHeight="false" outlineLevel="0" collapsed="false">
      <c r="A26" s="10" t="s">
        <v>109</v>
      </c>
      <c r="B26" s="27" t="n">
        <v>0.01</v>
      </c>
      <c r="G26" s="24" t="s">
        <v>110</v>
      </c>
    </row>
    <row r="27" customFormat="false" ht="15" hidden="false" customHeight="false" outlineLevel="0" collapsed="false">
      <c r="A27" s="10" t="s">
        <v>111</v>
      </c>
      <c r="B27" s="25" t="n">
        <v>600</v>
      </c>
      <c r="G27" s="24" t="s">
        <v>112</v>
      </c>
    </row>
    <row r="28" customFormat="false" ht="15" hidden="false" customHeight="false" outlineLevel="0" collapsed="false">
      <c r="A28" s="10" t="s">
        <v>113</v>
      </c>
      <c r="B28" s="26" t="n">
        <v>0.4</v>
      </c>
      <c r="G28" s="24" t="s">
        <v>112</v>
      </c>
    </row>
    <row r="29" customFormat="false" ht="15" hidden="false" customHeight="false" outlineLevel="0" collapsed="false">
      <c r="A29" s="10" t="s">
        <v>114</v>
      </c>
      <c r="B29" s="29" t="n">
        <v>40</v>
      </c>
      <c r="G29" s="24" t="s">
        <v>115</v>
      </c>
    </row>
    <row r="30" customFormat="false" ht="15" hidden="false" customHeight="false" outlineLevel="0" collapsed="false">
      <c r="A30" s="10" t="s">
        <v>116</v>
      </c>
      <c r="B30" s="25" t="n">
        <v>700</v>
      </c>
      <c r="G30" s="24" t="s">
        <v>112</v>
      </c>
    </row>
    <row r="31" customFormat="false" ht="15" hidden="false" customHeight="false" outlineLevel="0" collapsed="false">
      <c r="A31" s="10" t="s">
        <v>117</v>
      </c>
      <c r="B31" s="26" t="n">
        <v>0.45</v>
      </c>
      <c r="G31" s="24" t="s">
        <v>112</v>
      </c>
    </row>
    <row r="32" customFormat="false" ht="15" hidden="false" customHeight="false" outlineLevel="0" collapsed="false">
      <c r="A32" s="10" t="s">
        <v>118</v>
      </c>
      <c r="B32" s="30" t="n">
        <v>0</v>
      </c>
      <c r="G32" s="24" t="s">
        <v>119</v>
      </c>
    </row>
    <row r="34" customFormat="false" ht="15" hidden="false" customHeight="false" outlineLevel="0" collapsed="false">
      <c r="A34" s="20" t="s">
        <v>120</v>
      </c>
      <c r="B34" s="21"/>
      <c r="C34" s="21"/>
      <c r="D34" s="21"/>
      <c r="E34" s="21"/>
      <c r="F34" s="21"/>
      <c r="G34" s="21"/>
    </row>
    <row r="35" customFormat="false" ht="15" hidden="false" customHeight="false" outlineLevel="0" collapsed="false">
      <c r="A35" s="8" t="s">
        <v>94</v>
      </c>
      <c r="B35" s="9" t="s">
        <v>51</v>
      </c>
      <c r="C35" s="9"/>
      <c r="D35" s="9"/>
      <c r="E35" s="9"/>
      <c r="F35" s="9"/>
      <c r="G35" s="9" t="s">
        <v>121</v>
      </c>
    </row>
    <row r="36" customFormat="false" ht="15" hidden="false" customHeight="false" outlineLevel="0" collapsed="false">
      <c r="A36" s="10" t="s">
        <v>122</v>
      </c>
      <c r="B36" s="30" t="n">
        <v>120000</v>
      </c>
      <c r="G36" s="24" t="s">
        <v>123</v>
      </c>
    </row>
    <row r="37" customFormat="false" ht="15" hidden="false" customHeight="false" outlineLevel="0" collapsed="false">
      <c r="A37" s="10" t="s">
        <v>124</v>
      </c>
      <c r="B37" s="29" t="n">
        <v>100000</v>
      </c>
      <c r="G37" s="24" t="s">
        <v>125</v>
      </c>
    </row>
    <row r="38" customFormat="false" ht="15" hidden="false" customHeight="false" outlineLevel="0" collapsed="false">
      <c r="A38" s="10" t="s">
        <v>126</v>
      </c>
      <c r="B38" s="30" t="n">
        <v>40000</v>
      </c>
      <c r="G38" s="24" t="s">
        <v>127</v>
      </c>
    </row>
    <row r="39" customFormat="false" ht="15" hidden="false" customHeight="false" outlineLevel="0" collapsed="false">
      <c r="A39" s="10" t="s">
        <v>128</v>
      </c>
      <c r="B39" s="30" t="n">
        <v>250000</v>
      </c>
      <c r="G39" s="24" t="s">
        <v>129</v>
      </c>
    </row>
    <row r="40" customFormat="false" ht="15" hidden="false" customHeight="false" outlineLevel="0" collapsed="false">
      <c r="A40" s="10" t="s">
        <v>130</v>
      </c>
      <c r="B40" s="29" t="n">
        <v>792000</v>
      </c>
      <c r="G40" s="24" t="s">
        <v>131</v>
      </c>
    </row>
    <row r="41" customFormat="false" ht="15" hidden="false" customHeight="false" outlineLevel="0" collapsed="false">
      <c r="A41" s="10" t="s">
        <v>132</v>
      </c>
      <c r="B41" s="29" t="n">
        <v>1287000</v>
      </c>
      <c r="G41" s="24" t="s">
        <v>133</v>
      </c>
    </row>
    <row r="42" customFormat="false" ht="15" hidden="false" customHeight="false" outlineLevel="0" collapsed="false">
      <c r="A42" s="10" t="s">
        <v>134</v>
      </c>
      <c r="B42" s="28" t="n">
        <v>0.4</v>
      </c>
      <c r="G42" s="24" t="s">
        <v>135</v>
      </c>
    </row>
    <row r="44" customFormat="false" ht="15" hidden="false" customHeight="false" outlineLevel="0" collapsed="false">
      <c r="A44" s="8" t="s">
        <v>136</v>
      </c>
      <c r="B44" s="9" t="s">
        <v>95</v>
      </c>
      <c r="C44" s="9" t="s">
        <v>96</v>
      </c>
      <c r="D44" s="9" t="s">
        <v>97</v>
      </c>
      <c r="E44" s="9" t="s">
        <v>98</v>
      </c>
      <c r="F44" s="9" t="s">
        <v>99</v>
      </c>
      <c r="G44" s="9" t="s">
        <v>82</v>
      </c>
    </row>
    <row r="45" customFormat="false" ht="15" hidden="false" customHeight="false" outlineLevel="0" collapsed="false">
      <c r="A45" s="10" t="s">
        <v>137</v>
      </c>
      <c r="B45" s="29" t="n">
        <v>0</v>
      </c>
      <c r="C45" s="29" t="n">
        <v>2</v>
      </c>
      <c r="D45" s="29" t="n">
        <v>3</v>
      </c>
      <c r="E45" s="29" t="n">
        <v>5</v>
      </c>
      <c r="F45" s="29" t="n">
        <v>6</v>
      </c>
      <c r="G45" s="24" t="s">
        <v>138</v>
      </c>
    </row>
    <row r="46" customFormat="false" ht="15" hidden="false" customHeight="false" outlineLevel="0" collapsed="false">
      <c r="A46" s="10" t="s">
        <v>139</v>
      </c>
      <c r="B46" s="29" t="n">
        <v>1</v>
      </c>
      <c r="C46" s="29" t="n">
        <v>3</v>
      </c>
      <c r="D46" s="29" t="n">
        <v>4</v>
      </c>
      <c r="E46" s="29" t="n">
        <v>5</v>
      </c>
      <c r="F46" s="29" t="n">
        <v>6</v>
      </c>
    </row>
    <row r="47" customFormat="false" ht="15" hidden="false" customHeight="false" outlineLevel="0" collapsed="false">
      <c r="A47" s="10" t="s">
        <v>140</v>
      </c>
      <c r="B47" s="29" t="n">
        <v>0</v>
      </c>
      <c r="C47" s="29" t="n">
        <v>0</v>
      </c>
      <c r="D47" s="29" t="n">
        <v>1</v>
      </c>
      <c r="E47" s="29" t="n">
        <v>2</v>
      </c>
      <c r="F47" s="29" t="n">
        <v>2</v>
      </c>
    </row>
    <row r="48" customFormat="false" ht="15" hidden="false" customHeight="false" outlineLevel="0" collapsed="false">
      <c r="A48" s="10" t="s">
        <v>141</v>
      </c>
      <c r="B48" s="29" t="n">
        <v>0</v>
      </c>
      <c r="C48" s="29" t="n">
        <v>0</v>
      </c>
      <c r="D48" s="29" t="n">
        <v>0</v>
      </c>
      <c r="E48" s="29" t="n">
        <v>1</v>
      </c>
      <c r="F48" s="29" t="n">
        <v>1</v>
      </c>
    </row>
    <row r="50" customFormat="false" ht="15" hidden="false" customHeight="false" outlineLevel="0" collapsed="false">
      <c r="A50" s="20" t="s">
        <v>142</v>
      </c>
      <c r="B50" s="21"/>
      <c r="C50" s="21"/>
      <c r="D50" s="21"/>
      <c r="E50" s="21"/>
      <c r="F50" s="21"/>
      <c r="G50" s="21"/>
    </row>
    <row r="51" customFormat="false" ht="15" hidden="false" customHeight="false" outlineLevel="0" collapsed="false">
      <c r="A51" s="8" t="s">
        <v>94</v>
      </c>
      <c r="B51" s="9" t="s">
        <v>51</v>
      </c>
      <c r="C51" s="9"/>
      <c r="D51" s="9"/>
      <c r="E51" s="9"/>
      <c r="F51" s="9"/>
      <c r="G51" s="9" t="s">
        <v>121</v>
      </c>
    </row>
    <row r="52" customFormat="false" ht="15" hidden="false" customHeight="false" outlineLevel="0" collapsed="false">
      <c r="A52" s="10" t="s">
        <v>143</v>
      </c>
      <c r="B52" s="30" t="n">
        <v>200000</v>
      </c>
      <c r="G52" s="24" t="s">
        <v>112</v>
      </c>
    </row>
    <row r="53" customFormat="false" ht="15" hidden="false" customHeight="false" outlineLevel="0" collapsed="false">
      <c r="A53" s="10" t="s">
        <v>144</v>
      </c>
      <c r="B53" s="31" t="n">
        <v>15000</v>
      </c>
      <c r="G53" s="24" t="s">
        <v>145</v>
      </c>
    </row>
    <row r="54" customFormat="false" ht="15" hidden="false" customHeight="false" outlineLevel="0" collapsed="false">
      <c r="A54" s="10" t="s">
        <v>146</v>
      </c>
      <c r="B54" s="30" t="n">
        <v>150000</v>
      </c>
      <c r="G54" s="24" t="s">
        <v>112</v>
      </c>
    </row>
    <row r="55" customFormat="false" ht="15" hidden="false" customHeight="false" outlineLevel="0" collapsed="false">
      <c r="A55" s="10" t="s">
        <v>147</v>
      </c>
      <c r="B55" s="30" t="n">
        <v>600</v>
      </c>
      <c r="G55" s="24" t="s">
        <v>112</v>
      </c>
    </row>
    <row r="56" customFormat="false" ht="15" hidden="false" customHeight="false" outlineLevel="0" collapsed="false">
      <c r="A56" s="10" t="s">
        <v>148</v>
      </c>
      <c r="B56" s="30" t="n">
        <v>150000</v>
      </c>
      <c r="G56" s="24" t="s">
        <v>149</v>
      </c>
    </row>
    <row r="58" customFormat="false" ht="15" hidden="false" customHeight="false" outlineLevel="0" collapsed="false">
      <c r="A58" s="8" t="s">
        <v>150</v>
      </c>
      <c r="B58" s="9" t="s">
        <v>95</v>
      </c>
      <c r="C58" s="9" t="s">
        <v>96</v>
      </c>
      <c r="D58" s="9" t="s">
        <v>97</v>
      </c>
      <c r="E58" s="9" t="s">
        <v>98</v>
      </c>
      <c r="F58" s="9" t="s">
        <v>99</v>
      </c>
      <c r="G58" s="9" t="s">
        <v>82</v>
      </c>
    </row>
    <row r="59" customFormat="false" ht="15" hidden="false" customHeight="false" outlineLevel="0" collapsed="false">
      <c r="A59" s="10" t="s">
        <v>151</v>
      </c>
      <c r="B59" s="32" t="n">
        <v>5</v>
      </c>
      <c r="C59" s="32" t="n">
        <v>8</v>
      </c>
      <c r="D59" s="32" t="n">
        <v>10</v>
      </c>
      <c r="E59" s="32" t="n">
        <v>11</v>
      </c>
      <c r="F59" s="32" t="n">
        <v>12</v>
      </c>
      <c r="G59" s="24" t="s">
        <v>152</v>
      </c>
    </row>
    <row r="61" customFormat="false" ht="15" hidden="false" customHeight="false" outlineLevel="0" collapsed="false">
      <c r="A61" s="20" t="s">
        <v>153</v>
      </c>
      <c r="B61" s="21"/>
      <c r="C61" s="21"/>
      <c r="D61" s="21"/>
      <c r="E61" s="21"/>
      <c r="F61" s="21"/>
      <c r="G61" s="21"/>
    </row>
    <row r="62" customFormat="false" ht="15" hidden="false" customHeight="false" outlineLevel="0" collapsed="false">
      <c r="A62" s="10" t="s">
        <v>154</v>
      </c>
      <c r="B62" s="33" t="n">
        <v>12</v>
      </c>
      <c r="G62" s="24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6" t="s">
        <v>156</v>
      </c>
    </row>
    <row r="2" customFormat="false" ht="15" hidden="false" customHeight="false" outlineLevel="0" collapsed="false">
      <c r="A2" s="18" t="s">
        <v>157</v>
      </c>
    </row>
    <row r="4" customFormat="false" ht="15" hidden="false" customHeight="false" outlineLevel="0" collapsed="false">
      <c r="A4" s="20" t="s">
        <v>158</v>
      </c>
      <c r="B4" s="21"/>
      <c r="C4" s="21"/>
      <c r="D4" s="21"/>
      <c r="E4" s="21"/>
      <c r="F4" s="21"/>
    </row>
    <row r="5" customFormat="false" ht="15" hidden="false" customHeight="false" outlineLevel="0" collapsed="false">
      <c r="A5" s="8" t="s">
        <v>159</v>
      </c>
      <c r="B5" s="9" t="s">
        <v>95</v>
      </c>
      <c r="C5" s="9" t="s">
        <v>96</v>
      </c>
      <c r="D5" s="9" t="s">
        <v>97</v>
      </c>
      <c r="E5" s="9" t="s">
        <v>98</v>
      </c>
      <c r="F5" s="9" t="s">
        <v>99</v>
      </c>
    </row>
    <row r="6" customFormat="false" ht="15" hidden="false" customHeight="false" outlineLevel="0" collapsed="false">
      <c r="A6" s="10" t="s">
        <v>160</v>
      </c>
      <c r="B6" s="34" t="n">
        <f aca="false">ROUND(Assumptions!$B$11*Assumptions!B$20,0)</f>
        <v>24</v>
      </c>
      <c r="C6" s="34" t="n">
        <f aca="false">ROUND(Assumptions!$B$11*Assumptions!C$20,0)</f>
        <v>80</v>
      </c>
      <c r="D6" s="34" t="n">
        <f aca="false">ROUND(Assumptions!$B$11*Assumptions!D$20,0)</f>
        <v>136</v>
      </c>
      <c r="E6" s="34" t="n">
        <f aca="false">ROUND(Assumptions!$B$11*Assumptions!E$20,0)</f>
        <v>160</v>
      </c>
      <c r="F6" s="34" t="n">
        <f aca="false">ROUND(Assumptions!$B$11*Assumptions!F$20,0)</f>
        <v>160</v>
      </c>
    </row>
    <row r="7" customFormat="false" ht="15" hidden="false" customHeight="false" outlineLevel="0" collapsed="false">
      <c r="A7" s="10" t="s">
        <v>161</v>
      </c>
      <c r="B7" s="34" t="n">
        <f aca="false">ROUND(Assumptions!$B$12*Assumptions!B$20,0)</f>
        <v>6</v>
      </c>
      <c r="C7" s="34" t="n">
        <f aca="false">ROUND(Assumptions!$B$12*Assumptions!C$20,0)</f>
        <v>20</v>
      </c>
      <c r="D7" s="34" t="n">
        <f aca="false">ROUND(Assumptions!$B$12*Assumptions!D$20,0)</f>
        <v>34</v>
      </c>
      <c r="E7" s="34" t="n">
        <f aca="false">ROUND(Assumptions!$B$12*Assumptions!E$20,0)</f>
        <v>40</v>
      </c>
      <c r="F7" s="34" t="n">
        <f aca="false">ROUND(Assumptions!$B$12*Assumptions!F$20,0)</f>
        <v>40</v>
      </c>
    </row>
    <row r="8" customFormat="false" ht="15" hidden="false" customHeight="false" outlineLevel="0" collapsed="false">
      <c r="A8" s="10" t="s">
        <v>162</v>
      </c>
      <c r="B8" s="34" t="n">
        <f aca="false">B6*Assumptions!$B$13</f>
        <v>72000</v>
      </c>
      <c r="C8" s="34" t="n">
        <f aca="false">C6*Assumptions!$B$13</f>
        <v>240000</v>
      </c>
      <c r="D8" s="34" t="n">
        <f aca="false">D6*Assumptions!$B$13</f>
        <v>408000</v>
      </c>
      <c r="E8" s="34" t="n">
        <f aca="false">E6*Assumptions!$B$13</f>
        <v>480000</v>
      </c>
      <c r="F8" s="34" t="n">
        <f aca="false">F6*Assumptions!$B$13</f>
        <v>480000</v>
      </c>
    </row>
    <row r="9" customFormat="false" ht="15" hidden="false" customHeight="false" outlineLevel="0" collapsed="false">
      <c r="A9" s="10" t="s">
        <v>163</v>
      </c>
      <c r="B9" s="34" t="n">
        <f aca="false">SUM(B7:B7)*Assumptions!$B$14</f>
        <v>21000</v>
      </c>
      <c r="C9" s="34" t="n">
        <f aca="false">SUM(B7:C7)*Assumptions!$B$14</f>
        <v>91000</v>
      </c>
      <c r="D9" s="34" t="n">
        <f aca="false">SUM(B7:D7)*Assumptions!$B$14</f>
        <v>210000</v>
      </c>
      <c r="E9" s="34" t="n">
        <f aca="false">SUM(B7:E7)*Assumptions!$B$14</f>
        <v>350000</v>
      </c>
      <c r="F9" s="34" t="n">
        <f aca="false">SUM(C7:F7)*Assumptions!$B$14</f>
        <v>469000</v>
      </c>
    </row>
    <row r="10" customFormat="false" ht="15" hidden="false" customHeight="false" outlineLevel="0" collapsed="false">
      <c r="A10" s="10" t="s">
        <v>164</v>
      </c>
      <c r="B10" s="35" t="n">
        <f aca="false">B6*Assumptions!$B$15*Assumptions!$B$24*Assumptions!$B$25*Assumptions!$B$6</f>
        <v>294000</v>
      </c>
      <c r="C10" s="35" t="n">
        <f aca="false">C6*Assumptions!$B$15*Assumptions!$B$24*Assumptions!$B$25*Assumptions!$B$6</f>
        <v>980000</v>
      </c>
      <c r="D10" s="35" t="n">
        <f aca="false">D6*Assumptions!$B$15*Assumptions!$B$24*Assumptions!$B$25*Assumptions!$B$6</f>
        <v>1666000</v>
      </c>
      <c r="E10" s="35" t="n">
        <f aca="false">E6*Assumptions!$B$15*Assumptions!$B$24*Assumptions!$B$25*Assumptions!$B$6</f>
        <v>1960000</v>
      </c>
      <c r="F10" s="35" t="n">
        <f aca="false">F6*Assumptions!$B$15*Assumptions!$B$24*Assumptions!$B$25*Assumptions!$B$6</f>
        <v>1960000</v>
      </c>
    </row>
    <row r="11" customFormat="false" ht="15" hidden="false" customHeight="false" outlineLevel="0" collapsed="false">
      <c r="A11" s="10" t="s">
        <v>165</v>
      </c>
      <c r="B11" s="35" t="n">
        <f aca="false">B6*Assumptions!$B$13*Assumptions!$B$16*Assumptions!$B$26*Assumptions!$B$27*Assumptions!$B$28*Assumptions!$B$25*Assumptions!$B$6</f>
        <v>34560</v>
      </c>
      <c r="C11" s="35" t="n">
        <f aca="false">C6*Assumptions!$B$13*Assumptions!$B$16*Assumptions!$B$26*Assumptions!$B$27*Assumptions!$B$28*Assumptions!$B$25*Assumptions!$B$6</f>
        <v>115200</v>
      </c>
      <c r="D11" s="35" t="n">
        <f aca="false">D6*Assumptions!$B$13*Assumptions!$B$16*Assumptions!$B$26*Assumptions!$B$27*Assumptions!$B$28*Assumptions!$B$25*Assumptions!$B$6</f>
        <v>195840</v>
      </c>
      <c r="E11" s="35" t="n">
        <f aca="false">E6*Assumptions!$B$13*Assumptions!$B$16*Assumptions!$B$26*Assumptions!$B$27*Assumptions!$B$28*Assumptions!$B$25*Assumptions!$B$6</f>
        <v>230400</v>
      </c>
      <c r="F11" s="35" t="n">
        <f aca="false">F6*Assumptions!$B$13*Assumptions!$B$16*Assumptions!$B$26*Assumptions!$B$27*Assumptions!$B$28*Assumptions!$B$25*Assumptions!$B$6</f>
        <v>230400</v>
      </c>
    </row>
    <row r="12" customFormat="false" ht="15" hidden="false" customHeight="false" outlineLevel="0" collapsed="false">
      <c r="A12" s="10" t="s">
        <v>166</v>
      </c>
      <c r="B12" s="35" t="n">
        <f aca="false">B7*Assumptions!$B$29*Assumptions!$B$30*Assumptions!$B$31*Assumptions!$B$25*Assumptions!$B$6</f>
        <v>18900</v>
      </c>
      <c r="C12" s="35" t="n">
        <f aca="false">C7*Assumptions!$B$29*Assumptions!$B$30*Assumptions!$B$31*Assumptions!$B$25*Assumptions!$B$6</f>
        <v>63000</v>
      </c>
      <c r="D12" s="35" t="n">
        <f aca="false">D7*Assumptions!$B$29*Assumptions!$B$30*Assumptions!$B$31*Assumptions!$B$25*Assumptions!$B$6</f>
        <v>107100</v>
      </c>
      <c r="E12" s="35" t="n">
        <f aca="false">E7*Assumptions!$B$29*Assumptions!$B$30*Assumptions!$B$31*Assumptions!$B$25*Assumptions!$B$6</f>
        <v>126000</v>
      </c>
      <c r="F12" s="35" t="n">
        <f aca="false">F7*Assumptions!$B$29*Assumptions!$B$30*Assumptions!$B$31*Assumptions!$B$25*Assumptions!$B$6</f>
        <v>126000</v>
      </c>
    </row>
    <row r="13" customFormat="false" ht="15" hidden="false" customHeight="false" outlineLevel="0" collapsed="false">
      <c r="A13" s="10" t="s">
        <v>167</v>
      </c>
      <c r="B13" s="35" t="n">
        <f aca="false">B6*Assumptions!$B$32*Assumptions!$B$6</f>
        <v>0</v>
      </c>
      <c r="C13" s="35" t="n">
        <f aca="false">C6*Assumptions!$B$32*Assumptions!$B$6</f>
        <v>0</v>
      </c>
      <c r="D13" s="35" t="n">
        <f aca="false">D6*Assumptions!$B$32*Assumptions!$B$6</f>
        <v>0</v>
      </c>
      <c r="E13" s="35" t="n">
        <f aca="false">E6*Assumptions!$B$32*Assumptions!$B$6</f>
        <v>0</v>
      </c>
      <c r="F13" s="35" t="n">
        <f aca="false">F6*Assumptions!$B$32*Assumptions!$B$6</f>
        <v>0</v>
      </c>
    </row>
    <row r="14" customFormat="false" ht="15" hidden="false" customHeight="false" outlineLevel="0" collapsed="false">
      <c r="A14" s="12" t="s">
        <v>168</v>
      </c>
      <c r="B14" s="36" t="n">
        <f aca="false">SUM(B10:B13)</f>
        <v>347460</v>
      </c>
      <c r="C14" s="36" t="n">
        <f aca="false">SUM(C10:C13)</f>
        <v>1158200</v>
      </c>
      <c r="D14" s="36" t="n">
        <f aca="false">SUM(D10:D13)</f>
        <v>1968940</v>
      </c>
      <c r="E14" s="36" t="n">
        <f aca="false">SUM(E10:E13)</f>
        <v>2316400</v>
      </c>
      <c r="F14" s="36" t="n">
        <f aca="false">SUM(F10:F13)</f>
        <v>2316400</v>
      </c>
    </row>
    <row r="15" customFormat="false" ht="15" hidden="false" customHeight="false" outlineLevel="0" collapsed="false">
      <c r="A15" s="10" t="s">
        <v>169</v>
      </c>
      <c r="B15" s="35" t="n">
        <f aca="false">IF(B8&gt;=Assumptions!$B$37,Assumptions!B$45*Assumptions!$B$36*Assumptions!$C$6,0)</f>
        <v>0</v>
      </c>
      <c r="C15" s="35" t="n">
        <f aca="false">IF(C8&gt;=Assumptions!$B$37,Assumptions!C$45*Assumptions!$B$36*Assumptions!$C$6,0)</f>
        <v>192000</v>
      </c>
      <c r="D15" s="35" t="n">
        <f aca="false">IF(D8&gt;=Assumptions!$B$37,Assumptions!D$45*Assumptions!$B$36*Assumptions!$C$6,0)</f>
        <v>288000</v>
      </c>
      <c r="E15" s="35" t="n">
        <f aca="false">IF(E8&gt;=Assumptions!$B$37,Assumptions!E$45*Assumptions!$B$36*Assumptions!$C$6,0)</f>
        <v>480000</v>
      </c>
      <c r="F15" s="35" t="n">
        <f aca="false">IF(F8&gt;=Assumptions!$B$37,Assumptions!F$45*Assumptions!$B$36*Assumptions!$C$6,0)</f>
        <v>576000</v>
      </c>
    </row>
    <row r="16" customFormat="false" ht="15" hidden="false" customHeight="false" outlineLevel="0" collapsed="false">
      <c r="A16" s="10" t="s">
        <v>170</v>
      </c>
      <c r="B16" s="35" t="n">
        <f aca="false">Assumptions!B$46*Assumptions!$B$38*Assumptions!$C$6</f>
        <v>32000</v>
      </c>
      <c r="C16" s="35" t="n">
        <f aca="false">Assumptions!C$46*Assumptions!$B$38*Assumptions!$C$6</f>
        <v>96000</v>
      </c>
      <c r="D16" s="35" t="n">
        <f aca="false">Assumptions!D$46*Assumptions!$B$38*Assumptions!$C$6</f>
        <v>128000</v>
      </c>
      <c r="E16" s="35" t="n">
        <f aca="false">Assumptions!E$46*Assumptions!$B$38*Assumptions!$C$6</f>
        <v>160000</v>
      </c>
      <c r="F16" s="35" t="n">
        <f aca="false">Assumptions!F$46*Assumptions!$B$38*Assumptions!$C$6</f>
        <v>192000</v>
      </c>
    </row>
    <row r="17" customFormat="false" ht="15" hidden="false" customHeight="false" outlineLevel="0" collapsed="false">
      <c r="A17" s="10" t="s">
        <v>171</v>
      </c>
      <c r="B17" s="35" t="n">
        <f aca="false">IF(B9&gt;=Assumptions!$B$40,Assumptions!B$47*Assumptions!$B$39*Assumptions!$C$6,0)</f>
        <v>0</v>
      </c>
      <c r="C17" s="35" t="n">
        <f aca="false">IF(C9&gt;=Assumptions!$B$40,Assumptions!C$47*Assumptions!$B$39*Assumptions!$C$6,0)</f>
        <v>0</v>
      </c>
      <c r="D17" s="35" t="n">
        <f aca="false">IF(D9&gt;=Assumptions!$B$40,Assumptions!D$47*Assumptions!$B$39*Assumptions!$C$6,0)</f>
        <v>0</v>
      </c>
      <c r="E17" s="35" t="n">
        <f aca="false">IF(E9&gt;=Assumptions!$B$40,Assumptions!E$47*Assumptions!$B$39*Assumptions!$C$6,0)</f>
        <v>0</v>
      </c>
      <c r="F17" s="35" t="n">
        <f aca="false">IF(F9&gt;=Assumptions!$B$40,Assumptions!F$47*Assumptions!$B$39*Assumptions!$C$6,0)</f>
        <v>0</v>
      </c>
    </row>
    <row r="18" customFormat="false" ht="15" hidden="false" customHeight="false" outlineLevel="0" collapsed="false">
      <c r="A18" s="10" t="s">
        <v>172</v>
      </c>
      <c r="B18" s="35" t="n">
        <f aca="false">IF(B9&gt;=Assumptions!$B$41,Assumptions!B$48*Assumptions!$B$39*Assumptions!$C$6,0)</f>
        <v>0</v>
      </c>
      <c r="C18" s="35" t="n">
        <f aca="false">IF(C9&gt;=Assumptions!$B$41,Assumptions!C$48*Assumptions!$B$39*Assumptions!$C$6,0)</f>
        <v>0</v>
      </c>
      <c r="D18" s="35" t="n">
        <f aca="false">IF(D9&gt;=Assumptions!$B$41,Assumptions!D$48*Assumptions!$B$39*Assumptions!$C$6,0)</f>
        <v>0</v>
      </c>
      <c r="E18" s="35" t="n">
        <f aca="false">IF(E9&gt;=Assumptions!$B$41,Assumptions!E$48*Assumptions!$B$39*Assumptions!$C$6,0)</f>
        <v>0</v>
      </c>
      <c r="F18" s="35" t="n">
        <f aca="false">IF(F9&gt;=Assumptions!$B$41,Assumptions!F$48*Assumptions!$B$39*Assumptions!$C$6,0)</f>
        <v>0</v>
      </c>
    </row>
    <row r="19" customFormat="false" ht="15" hidden="false" customHeight="false" outlineLevel="0" collapsed="false">
      <c r="A19" s="12" t="s">
        <v>173</v>
      </c>
      <c r="B19" s="36" t="n">
        <f aca="false">SUM(B15:B18)</f>
        <v>32000</v>
      </c>
      <c r="C19" s="36" t="n">
        <f aca="false">SUM(C15:C18)</f>
        <v>288000</v>
      </c>
      <c r="D19" s="36" t="n">
        <f aca="false">SUM(D15:D18)</f>
        <v>416000</v>
      </c>
      <c r="E19" s="36" t="n">
        <f aca="false">SUM(E15:E18)</f>
        <v>640000</v>
      </c>
      <c r="F19" s="36" t="n">
        <f aca="false">SUM(F15:F18)</f>
        <v>768000</v>
      </c>
    </row>
    <row r="20" customFormat="false" ht="15" hidden="false" customHeight="false" outlineLevel="0" collapsed="false">
      <c r="A20" s="10" t="s">
        <v>174</v>
      </c>
      <c r="B20" s="35" t="n">
        <f aca="false">Assumptions!B$59*Assumptions!$B$52</f>
        <v>1000000</v>
      </c>
      <c r="C20" s="35" t="n">
        <f aca="false">Assumptions!C$59*Assumptions!$B$52</f>
        <v>1600000</v>
      </c>
      <c r="D20" s="35" t="n">
        <f aca="false">Assumptions!D$59*Assumptions!$B$52</f>
        <v>2000000</v>
      </c>
      <c r="E20" s="35" t="n">
        <f aca="false">Assumptions!E$59*Assumptions!$B$52</f>
        <v>2200000</v>
      </c>
      <c r="F20" s="35" t="n">
        <f aca="false">Assumptions!F$59*Assumptions!$B$52</f>
        <v>2400000</v>
      </c>
    </row>
    <row r="21" customFormat="false" ht="15" hidden="false" customHeight="false" outlineLevel="0" collapsed="false">
      <c r="A21" s="10" t="s">
        <v>175</v>
      </c>
      <c r="B21" s="35" t="n">
        <f aca="false">B6*Assumptions!$B$53</f>
        <v>360000</v>
      </c>
      <c r="C21" s="35" t="n">
        <f aca="false">MAX(0,C6-B6)*Assumptions!$B$53</f>
        <v>840000</v>
      </c>
      <c r="D21" s="35" t="n">
        <f aca="false">MAX(0,D6-C6)*Assumptions!$B$53</f>
        <v>840000</v>
      </c>
      <c r="E21" s="35" t="n">
        <f aca="false">MAX(0,E6-D6)*Assumptions!$B$53</f>
        <v>360000</v>
      </c>
      <c r="F21" s="35" t="n">
        <f aca="false">MAX(0,F6-E6)*Assumptions!$B$53</f>
        <v>0</v>
      </c>
    </row>
    <row r="22" customFormat="false" ht="15" hidden="false" customHeight="false" outlineLevel="0" collapsed="false">
      <c r="A22" s="10" t="s">
        <v>176</v>
      </c>
      <c r="B22" s="35" t="n">
        <f aca="false">Assumptions!$B$54+B6*Assumptions!$B$55</f>
        <v>164400</v>
      </c>
      <c r="C22" s="35" t="n">
        <f aca="false">Assumptions!$B$54+C6*Assumptions!$B$55</f>
        <v>198000</v>
      </c>
      <c r="D22" s="35" t="n">
        <f aca="false">Assumptions!$B$54+D6*Assumptions!$B$55</f>
        <v>231600</v>
      </c>
      <c r="E22" s="35" t="n">
        <f aca="false">Assumptions!$B$54+E6*Assumptions!$B$55</f>
        <v>246000</v>
      </c>
      <c r="F22" s="35" t="n">
        <f aca="false">Assumptions!$B$54+F6*Assumptions!$B$55</f>
        <v>246000</v>
      </c>
    </row>
    <row r="23" customFormat="false" ht="15" hidden="false" customHeight="false" outlineLevel="0" collapsed="false">
      <c r="A23" s="10" t="s">
        <v>177</v>
      </c>
      <c r="B23" s="35" t="n">
        <f aca="false">Assumptions!$B$56</f>
        <v>150000</v>
      </c>
      <c r="C23" s="35" t="n">
        <f aca="false">Assumptions!$B$56</f>
        <v>150000</v>
      </c>
      <c r="D23" s="35" t="n">
        <f aca="false">Assumptions!$B$56</f>
        <v>150000</v>
      </c>
      <c r="E23" s="35" t="n">
        <f aca="false">Assumptions!$B$56</f>
        <v>150000</v>
      </c>
      <c r="F23" s="35" t="n">
        <f aca="false">Assumptions!$B$56</f>
        <v>150000</v>
      </c>
    </row>
    <row r="24" customFormat="false" ht="15" hidden="false" customHeight="false" outlineLevel="0" collapsed="false">
      <c r="A24" s="10" t="s">
        <v>178</v>
      </c>
      <c r="B24" s="35" t="n">
        <f aca="false">(B17+B18)*Assumptions!$B$42</f>
        <v>0</v>
      </c>
      <c r="C24" s="35" t="n">
        <f aca="false">(C17+C18)*Assumptions!$B$42</f>
        <v>0</v>
      </c>
      <c r="D24" s="35" t="n">
        <f aca="false">(D17+D18)*Assumptions!$B$42</f>
        <v>0</v>
      </c>
      <c r="E24" s="35" t="n">
        <f aca="false">(E17+E18)*Assumptions!$B$42</f>
        <v>0</v>
      </c>
      <c r="F24" s="35" t="n">
        <f aca="false">(F17+F18)*Assumptions!$B$42</f>
        <v>0</v>
      </c>
    </row>
    <row r="25" customFormat="false" ht="15" hidden="false" customHeight="false" outlineLevel="0" collapsed="false">
      <c r="A25" s="12" t="s">
        <v>179</v>
      </c>
      <c r="B25" s="36" t="n">
        <f aca="false">SUM(B20:B24)</f>
        <v>1674400</v>
      </c>
      <c r="C25" s="36" t="n">
        <f aca="false">SUM(C20:C24)</f>
        <v>2788000</v>
      </c>
      <c r="D25" s="36" t="n">
        <f aca="false">SUM(D20:D24)</f>
        <v>3221600</v>
      </c>
      <c r="E25" s="36" t="n">
        <f aca="false">SUM(E20:E24)</f>
        <v>2956000</v>
      </c>
      <c r="F25" s="36" t="n">
        <f aca="false">SUM(F20:F24)</f>
        <v>2796000</v>
      </c>
    </row>
    <row r="26" customFormat="false" ht="15" hidden="false" customHeight="false" outlineLevel="0" collapsed="false">
      <c r="A26" s="12" t="s">
        <v>180</v>
      </c>
      <c r="B26" s="36" t="n">
        <f aca="false">B14+B19-B25</f>
        <v>-1294940</v>
      </c>
      <c r="C26" s="36" t="n">
        <f aca="false">C14+C19-C25</f>
        <v>-1341800</v>
      </c>
      <c r="D26" s="36" t="n">
        <f aca="false">D14+D19-D25</f>
        <v>-836660</v>
      </c>
      <c r="E26" s="36" t="n">
        <f aca="false">E14+E19-E25</f>
        <v>400</v>
      </c>
      <c r="F26" s="36" t="n">
        <f aca="false">F14+F19-F25</f>
        <v>288400</v>
      </c>
    </row>
    <row r="27" customFormat="false" ht="15" hidden="false" customHeight="false" outlineLevel="0" collapsed="false">
      <c r="A27" s="10" t="s">
        <v>181</v>
      </c>
      <c r="B27" s="35" t="n">
        <f aca="false">B26</f>
        <v>-1294940</v>
      </c>
      <c r="C27" s="35" t="n">
        <f aca="false">B27+C26</f>
        <v>-2636740</v>
      </c>
      <c r="D27" s="35" t="n">
        <f aca="false">C27+D26</f>
        <v>-3473400</v>
      </c>
      <c r="E27" s="35" t="n">
        <f aca="false">D27+E26</f>
        <v>-3473000</v>
      </c>
      <c r="F27" s="35" t="n">
        <f aca="false">E27+F26</f>
        <v>-3184600</v>
      </c>
    </row>
    <row r="28" customFormat="false" ht="15" hidden="false" customHeight="false" outlineLevel="0" collapsed="false">
      <c r="A28" s="10" t="s">
        <v>182</v>
      </c>
      <c r="B28" s="34" t="n">
        <f aca="false">IF(B27&gt;0,1,99)</f>
        <v>99</v>
      </c>
      <c r="C28" s="34" t="n">
        <f aca="false">IF(C27&gt;0,2,99)</f>
        <v>99</v>
      </c>
      <c r="D28" s="34" t="n">
        <f aca="false">IF(D27&gt;0,3,99)</f>
        <v>99</v>
      </c>
      <c r="E28" s="34" t="n">
        <f aca="false">IF(E27&gt;0,4,99)</f>
        <v>99</v>
      </c>
      <c r="F28" s="34" t="n">
        <f aca="false">IF(F27&gt;0,5,99)</f>
        <v>99</v>
      </c>
    </row>
    <row r="30" customFormat="false" ht="15" hidden="false" customHeight="false" outlineLevel="0" collapsed="false">
      <c r="A30" s="20" t="s">
        <v>183</v>
      </c>
      <c r="B30" s="21"/>
      <c r="C30" s="21"/>
      <c r="D30" s="21"/>
      <c r="E30" s="21"/>
      <c r="F30" s="21"/>
    </row>
    <row r="31" customFormat="false" ht="15" hidden="false" customHeight="false" outlineLevel="0" collapsed="false">
      <c r="A31" s="8" t="s">
        <v>159</v>
      </c>
      <c r="B31" s="9" t="s">
        <v>95</v>
      </c>
      <c r="C31" s="9" t="s">
        <v>96</v>
      </c>
      <c r="D31" s="9" t="s">
        <v>97</v>
      </c>
      <c r="E31" s="9" t="s">
        <v>98</v>
      </c>
      <c r="F31" s="9" t="s">
        <v>99</v>
      </c>
    </row>
    <row r="32" customFormat="false" ht="15" hidden="false" customHeight="false" outlineLevel="0" collapsed="false">
      <c r="A32" s="10" t="s">
        <v>160</v>
      </c>
      <c r="B32" s="34" t="n">
        <f aca="false">ROUND(Assumptions!$B$11*Assumptions!B$20,0)</f>
        <v>24</v>
      </c>
      <c r="C32" s="34" t="n">
        <f aca="false">ROUND(Assumptions!$B$11*Assumptions!C$20,0)</f>
        <v>80</v>
      </c>
      <c r="D32" s="34" t="n">
        <f aca="false">ROUND(Assumptions!$B$11*Assumptions!D$20,0)</f>
        <v>136</v>
      </c>
      <c r="E32" s="34" t="n">
        <f aca="false">ROUND(Assumptions!$B$11*Assumptions!E$20,0)</f>
        <v>160</v>
      </c>
      <c r="F32" s="34" t="n">
        <f aca="false">ROUND(Assumptions!$B$11*Assumptions!F$20,0)</f>
        <v>160</v>
      </c>
    </row>
    <row r="33" customFormat="false" ht="15" hidden="false" customHeight="false" outlineLevel="0" collapsed="false">
      <c r="A33" s="10" t="s">
        <v>161</v>
      </c>
      <c r="B33" s="34" t="n">
        <f aca="false">ROUND(Assumptions!$B$12*Assumptions!B$20,0)</f>
        <v>6</v>
      </c>
      <c r="C33" s="34" t="n">
        <f aca="false">ROUND(Assumptions!$B$12*Assumptions!C$20,0)</f>
        <v>20</v>
      </c>
      <c r="D33" s="34" t="n">
        <f aca="false">ROUND(Assumptions!$B$12*Assumptions!D$20,0)</f>
        <v>34</v>
      </c>
      <c r="E33" s="34" t="n">
        <f aca="false">ROUND(Assumptions!$B$12*Assumptions!E$20,0)</f>
        <v>40</v>
      </c>
      <c r="F33" s="34" t="n">
        <f aca="false">ROUND(Assumptions!$B$12*Assumptions!F$20,0)</f>
        <v>40</v>
      </c>
    </row>
    <row r="34" customFormat="false" ht="15" hidden="false" customHeight="false" outlineLevel="0" collapsed="false">
      <c r="A34" s="10" t="s">
        <v>162</v>
      </c>
      <c r="B34" s="34" t="n">
        <f aca="false">B32*Assumptions!$B$13</f>
        <v>72000</v>
      </c>
      <c r="C34" s="34" t="n">
        <f aca="false">C32*Assumptions!$B$13</f>
        <v>240000</v>
      </c>
      <c r="D34" s="34" t="n">
        <f aca="false">D32*Assumptions!$B$13</f>
        <v>408000</v>
      </c>
      <c r="E34" s="34" t="n">
        <f aca="false">E32*Assumptions!$B$13</f>
        <v>480000</v>
      </c>
      <c r="F34" s="34" t="n">
        <f aca="false">F32*Assumptions!$B$13</f>
        <v>480000</v>
      </c>
    </row>
    <row r="35" customFormat="false" ht="15" hidden="false" customHeight="false" outlineLevel="0" collapsed="false">
      <c r="A35" s="10" t="s">
        <v>163</v>
      </c>
      <c r="B35" s="34" t="n">
        <f aca="false">SUM(B33:B33)*Assumptions!$B$14</f>
        <v>21000</v>
      </c>
      <c r="C35" s="34" t="n">
        <f aca="false">SUM(B33:C33)*Assumptions!$B$14</f>
        <v>91000</v>
      </c>
      <c r="D35" s="34" t="n">
        <f aca="false">SUM(B33:D33)*Assumptions!$B$14</f>
        <v>210000</v>
      </c>
      <c r="E35" s="34" t="n">
        <f aca="false">SUM(B33:E33)*Assumptions!$B$14</f>
        <v>350000</v>
      </c>
      <c r="F35" s="34" t="n">
        <f aca="false">SUM(C33:F33)*Assumptions!$B$14</f>
        <v>469000</v>
      </c>
    </row>
    <row r="36" customFormat="false" ht="15" hidden="false" customHeight="false" outlineLevel="0" collapsed="false">
      <c r="A36" s="10" t="s">
        <v>164</v>
      </c>
      <c r="B36" s="35" t="n">
        <f aca="false">B32*Assumptions!$B$15*Assumptions!$B$24*Assumptions!$B$25*Assumptions!$B$7</f>
        <v>588000</v>
      </c>
      <c r="C36" s="35" t="n">
        <f aca="false">C32*Assumptions!$B$15*Assumptions!$B$24*Assumptions!$B$25*Assumptions!$B$7</f>
        <v>1960000</v>
      </c>
      <c r="D36" s="35" t="n">
        <f aca="false">D32*Assumptions!$B$15*Assumptions!$B$24*Assumptions!$B$25*Assumptions!$B$7</f>
        <v>3332000</v>
      </c>
      <c r="E36" s="35" t="n">
        <f aca="false">E32*Assumptions!$B$15*Assumptions!$B$24*Assumptions!$B$25*Assumptions!$B$7</f>
        <v>3920000</v>
      </c>
      <c r="F36" s="35" t="n">
        <f aca="false">F32*Assumptions!$B$15*Assumptions!$B$24*Assumptions!$B$25*Assumptions!$B$7</f>
        <v>3920000</v>
      </c>
    </row>
    <row r="37" customFormat="false" ht="15" hidden="false" customHeight="false" outlineLevel="0" collapsed="false">
      <c r="A37" s="10" t="s">
        <v>165</v>
      </c>
      <c r="B37" s="35" t="n">
        <f aca="false">B32*Assumptions!$B$13*Assumptions!$B$16*Assumptions!$B$26*Assumptions!$B$27*Assumptions!$B$28*Assumptions!$B$25*Assumptions!$B$7</f>
        <v>69120</v>
      </c>
      <c r="C37" s="35" t="n">
        <f aca="false">C32*Assumptions!$B$13*Assumptions!$B$16*Assumptions!$B$26*Assumptions!$B$27*Assumptions!$B$28*Assumptions!$B$25*Assumptions!$B$7</f>
        <v>230400</v>
      </c>
      <c r="D37" s="35" t="n">
        <f aca="false">D32*Assumptions!$B$13*Assumptions!$B$16*Assumptions!$B$26*Assumptions!$B$27*Assumptions!$B$28*Assumptions!$B$25*Assumptions!$B$7</f>
        <v>391680</v>
      </c>
      <c r="E37" s="35" t="n">
        <f aca="false">E32*Assumptions!$B$13*Assumptions!$B$16*Assumptions!$B$26*Assumptions!$B$27*Assumptions!$B$28*Assumptions!$B$25*Assumptions!$B$7</f>
        <v>460800</v>
      </c>
      <c r="F37" s="35" t="n">
        <f aca="false">F32*Assumptions!$B$13*Assumptions!$B$16*Assumptions!$B$26*Assumptions!$B$27*Assumptions!$B$28*Assumptions!$B$25*Assumptions!$B$7</f>
        <v>460800</v>
      </c>
    </row>
    <row r="38" customFormat="false" ht="15" hidden="false" customHeight="false" outlineLevel="0" collapsed="false">
      <c r="A38" s="10" t="s">
        <v>166</v>
      </c>
      <c r="B38" s="35" t="n">
        <f aca="false">B33*Assumptions!$B$29*Assumptions!$B$30*Assumptions!$B$31*Assumptions!$B$25*Assumptions!$B$7</f>
        <v>37800</v>
      </c>
      <c r="C38" s="35" t="n">
        <f aca="false">C33*Assumptions!$B$29*Assumptions!$B$30*Assumptions!$B$31*Assumptions!$B$25*Assumptions!$B$7</f>
        <v>126000</v>
      </c>
      <c r="D38" s="35" t="n">
        <f aca="false">D33*Assumptions!$B$29*Assumptions!$B$30*Assumptions!$B$31*Assumptions!$B$25*Assumptions!$B$7</f>
        <v>214200</v>
      </c>
      <c r="E38" s="35" t="n">
        <f aca="false">E33*Assumptions!$B$29*Assumptions!$B$30*Assumptions!$B$31*Assumptions!$B$25*Assumptions!$B$7</f>
        <v>252000</v>
      </c>
      <c r="F38" s="35" t="n">
        <f aca="false">F33*Assumptions!$B$29*Assumptions!$B$30*Assumptions!$B$31*Assumptions!$B$25*Assumptions!$B$7</f>
        <v>252000</v>
      </c>
    </row>
    <row r="39" customFormat="false" ht="15" hidden="false" customHeight="false" outlineLevel="0" collapsed="false">
      <c r="A39" s="10" t="s">
        <v>167</v>
      </c>
      <c r="B39" s="35" t="n">
        <f aca="false">B32*Assumptions!$B$32*Assumptions!$B$7</f>
        <v>0</v>
      </c>
      <c r="C39" s="35" t="n">
        <f aca="false">C32*Assumptions!$B$32*Assumptions!$B$7</f>
        <v>0</v>
      </c>
      <c r="D39" s="35" t="n">
        <f aca="false">D32*Assumptions!$B$32*Assumptions!$B$7</f>
        <v>0</v>
      </c>
      <c r="E39" s="35" t="n">
        <f aca="false">E32*Assumptions!$B$32*Assumptions!$B$7</f>
        <v>0</v>
      </c>
      <c r="F39" s="35" t="n">
        <f aca="false">F32*Assumptions!$B$32*Assumptions!$B$7</f>
        <v>0</v>
      </c>
    </row>
    <row r="40" customFormat="false" ht="15" hidden="false" customHeight="false" outlineLevel="0" collapsed="false">
      <c r="A40" s="12" t="s">
        <v>168</v>
      </c>
      <c r="B40" s="36" t="n">
        <f aca="false">SUM(B36:B39)</f>
        <v>694920</v>
      </c>
      <c r="C40" s="36" t="n">
        <f aca="false">SUM(C36:C39)</f>
        <v>2316400</v>
      </c>
      <c r="D40" s="36" t="n">
        <f aca="false">SUM(D36:D39)</f>
        <v>3937880</v>
      </c>
      <c r="E40" s="36" t="n">
        <f aca="false">SUM(E36:E39)</f>
        <v>4632800</v>
      </c>
      <c r="F40" s="36" t="n">
        <f aca="false">SUM(F36:F39)</f>
        <v>4632800</v>
      </c>
    </row>
    <row r="41" customFormat="false" ht="15" hidden="false" customHeight="false" outlineLevel="0" collapsed="false">
      <c r="A41" s="10" t="s">
        <v>169</v>
      </c>
      <c r="B41" s="35" t="n">
        <f aca="false">IF(B34&gt;=Assumptions!$B$37,Assumptions!B$45*Assumptions!$B$36*Assumptions!$C$7,0)</f>
        <v>0</v>
      </c>
      <c r="C41" s="35" t="n">
        <f aca="false">IF(C34&gt;=Assumptions!$B$37,Assumptions!C$45*Assumptions!$B$36*Assumptions!$C$7,0)</f>
        <v>240000</v>
      </c>
      <c r="D41" s="35" t="n">
        <f aca="false">IF(D34&gt;=Assumptions!$B$37,Assumptions!D$45*Assumptions!$B$36*Assumptions!$C$7,0)</f>
        <v>360000</v>
      </c>
      <c r="E41" s="35" t="n">
        <f aca="false">IF(E34&gt;=Assumptions!$B$37,Assumptions!E$45*Assumptions!$B$36*Assumptions!$C$7,0)</f>
        <v>600000</v>
      </c>
      <c r="F41" s="35" t="n">
        <f aca="false">IF(F34&gt;=Assumptions!$B$37,Assumptions!F$45*Assumptions!$B$36*Assumptions!$C$7,0)</f>
        <v>720000</v>
      </c>
    </row>
    <row r="42" customFormat="false" ht="15" hidden="false" customHeight="false" outlineLevel="0" collapsed="false">
      <c r="A42" s="10" t="s">
        <v>170</v>
      </c>
      <c r="B42" s="35" t="n">
        <f aca="false">Assumptions!B$46*Assumptions!$B$38*Assumptions!$C$7</f>
        <v>40000</v>
      </c>
      <c r="C42" s="35" t="n">
        <f aca="false">Assumptions!C$46*Assumptions!$B$38*Assumptions!$C$7</f>
        <v>120000</v>
      </c>
      <c r="D42" s="35" t="n">
        <f aca="false">Assumptions!D$46*Assumptions!$B$38*Assumptions!$C$7</f>
        <v>160000</v>
      </c>
      <c r="E42" s="35" t="n">
        <f aca="false">Assumptions!E$46*Assumptions!$B$38*Assumptions!$C$7</f>
        <v>200000</v>
      </c>
      <c r="F42" s="35" t="n">
        <f aca="false">Assumptions!F$46*Assumptions!$B$38*Assumptions!$C$7</f>
        <v>240000</v>
      </c>
    </row>
    <row r="43" customFormat="false" ht="15" hidden="false" customHeight="false" outlineLevel="0" collapsed="false">
      <c r="A43" s="10" t="s">
        <v>171</v>
      </c>
      <c r="B43" s="35" t="n">
        <f aca="false">IF(B35&gt;=Assumptions!$B$40,Assumptions!B$47*Assumptions!$B$39*Assumptions!$C$7,0)</f>
        <v>0</v>
      </c>
      <c r="C43" s="35" t="n">
        <f aca="false">IF(C35&gt;=Assumptions!$B$40,Assumptions!C$47*Assumptions!$B$39*Assumptions!$C$7,0)</f>
        <v>0</v>
      </c>
      <c r="D43" s="35" t="n">
        <f aca="false">IF(D35&gt;=Assumptions!$B$40,Assumptions!D$47*Assumptions!$B$39*Assumptions!$C$7,0)</f>
        <v>0</v>
      </c>
      <c r="E43" s="35" t="n">
        <f aca="false">IF(E35&gt;=Assumptions!$B$40,Assumptions!E$47*Assumptions!$B$39*Assumptions!$C$7,0)</f>
        <v>0</v>
      </c>
      <c r="F43" s="35" t="n">
        <f aca="false">IF(F35&gt;=Assumptions!$B$40,Assumptions!F$47*Assumptions!$B$39*Assumptions!$C$7,0)</f>
        <v>0</v>
      </c>
    </row>
    <row r="44" customFormat="false" ht="15" hidden="false" customHeight="false" outlineLevel="0" collapsed="false">
      <c r="A44" s="10" t="s">
        <v>172</v>
      </c>
      <c r="B44" s="35" t="n">
        <f aca="false">IF(B35&gt;=Assumptions!$B$41,Assumptions!B$48*Assumptions!$B$39*Assumptions!$C$7,0)</f>
        <v>0</v>
      </c>
      <c r="C44" s="35" t="n">
        <f aca="false">IF(C35&gt;=Assumptions!$B$41,Assumptions!C$48*Assumptions!$B$39*Assumptions!$C$7,0)</f>
        <v>0</v>
      </c>
      <c r="D44" s="35" t="n">
        <f aca="false">IF(D35&gt;=Assumptions!$B$41,Assumptions!D$48*Assumptions!$B$39*Assumptions!$C$7,0)</f>
        <v>0</v>
      </c>
      <c r="E44" s="35" t="n">
        <f aca="false">IF(E35&gt;=Assumptions!$B$41,Assumptions!E$48*Assumptions!$B$39*Assumptions!$C$7,0)</f>
        <v>0</v>
      </c>
      <c r="F44" s="35" t="n">
        <f aca="false">IF(F35&gt;=Assumptions!$B$41,Assumptions!F$48*Assumptions!$B$39*Assumptions!$C$7,0)</f>
        <v>0</v>
      </c>
    </row>
    <row r="45" customFormat="false" ht="15" hidden="false" customHeight="false" outlineLevel="0" collapsed="false">
      <c r="A45" s="12" t="s">
        <v>173</v>
      </c>
      <c r="B45" s="36" t="n">
        <f aca="false">SUM(B41:B44)</f>
        <v>40000</v>
      </c>
      <c r="C45" s="36" t="n">
        <f aca="false">SUM(C41:C44)</f>
        <v>360000</v>
      </c>
      <c r="D45" s="36" t="n">
        <f aca="false">SUM(D41:D44)</f>
        <v>520000</v>
      </c>
      <c r="E45" s="36" t="n">
        <f aca="false">SUM(E41:E44)</f>
        <v>800000</v>
      </c>
      <c r="F45" s="36" t="n">
        <f aca="false">SUM(F41:F44)</f>
        <v>960000</v>
      </c>
    </row>
    <row r="46" customFormat="false" ht="15" hidden="false" customHeight="false" outlineLevel="0" collapsed="false">
      <c r="A46" s="10" t="s">
        <v>174</v>
      </c>
      <c r="B46" s="35" t="n">
        <f aca="false">Assumptions!B$59*Assumptions!$B$52</f>
        <v>1000000</v>
      </c>
      <c r="C46" s="35" t="n">
        <f aca="false">Assumptions!C$59*Assumptions!$B$52</f>
        <v>1600000</v>
      </c>
      <c r="D46" s="35" t="n">
        <f aca="false">Assumptions!D$59*Assumptions!$B$52</f>
        <v>2000000</v>
      </c>
      <c r="E46" s="35" t="n">
        <f aca="false">Assumptions!E$59*Assumptions!$B$52</f>
        <v>2200000</v>
      </c>
      <c r="F46" s="35" t="n">
        <f aca="false">Assumptions!F$59*Assumptions!$B$52</f>
        <v>2400000</v>
      </c>
    </row>
    <row r="47" customFormat="false" ht="15" hidden="false" customHeight="false" outlineLevel="0" collapsed="false">
      <c r="A47" s="10" t="s">
        <v>175</v>
      </c>
      <c r="B47" s="35" t="n">
        <f aca="false">B32*Assumptions!$B$53</f>
        <v>360000</v>
      </c>
      <c r="C47" s="35" t="n">
        <f aca="false">MAX(0,C32-B32)*Assumptions!$B$53</f>
        <v>840000</v>
      </c>
      <c r="D47" s="35" t="n">
        <f aca="false">MAX(0,D32-C32)*Assumptions!$B$53</f>
        <v>840000</v>
      </c>
      <c r="E47" s="35" t="n">
        <f aca="false">MAX(0,E32-D32)*Assumptions!$B$53</f>
        <v>360000</v>
      </c>
      <c r="F47" s="35" t="n">
        <f aca="false">MAX(0,F32-E32)*Assumptions!$B$53</f>
        <v>0</v>
      </c>
    </row>
    <row r="48" customFormat="false" ht="15" hidden="false" customHeight="false" outlineLevel="0" collapsed="false">
      <c r="A48" s="10" t="s">
        <v>176</v>
      </c>
      <c r="B48" s="35" t="n">
        <f aca="false">Assumptions!$B$54+B32*Assumptions!$B$55</f>
        <v>164400</v>
      </c>
      <c r="C48" s="35" t="n">
        <f aca="false">Assumptions!$B$54+C32*Assumptions!$B$55</f>
        <v>198000</v>
      </c>
      <c r="D48" s="35" t="n">
        <f aca="false">Assumptions!$B$54+D32*Assumptions!$B$55</f>
        <v>231600</v>
      </c>
      <c r="E48" s="35" t="n">
        <f aca="false">Assumptions!$B$54+E32*Assumptions!$B$55</f>
        <v>246000</v>
      </c>
      <c r="F48" s="35" t="n">
        <f aca="false">Assumptions!$B$54+F32*Assumptions!$B$55</f>
        <v>246000</v>
      </c>
    </row>
    <row r="49" customFormat="false" ht="15" hidden="false" customHeight="false" outlineLevel="0" collapsed="false">
      <c r="A49" s="10" t="s">
        <v>177</v>
      </c>
      <c r="B49" s="35" t="n">
        <f aca="false">Assumptions!$B$56</f>
        <v>150000</v>
      </c>
      <c r="C49" s="35" t="n">
        <f aca="false">Assumptions!$B$56</f>
        <v>150000</v>
      </c>
      <c r="D49" s="35" t="n">
        <f aca="false">Assumptions!$B$56</f>
        <v>150000</v>
      </c>
      <c r="E49" s="35" t="n">
        <f aca="false">Assumptions!$B$56</f>
        <v>150000</v>
      </c>
      <c r="F49" s="35" t="n">
        <f aca="false">Assumptions!$B$56</f>
        <v>150000</v>
      </c>
    </row>
    <row r="50" customFormat="false" ht="15" hidden="false" customHeight="false" outlineLevel="0" collapsed="false">
      <c r="A50" s="10" t="s">
        <v>178</v>
      </c>
      <c r="B50" s="35" t="n">
        <f aca="false">(B43+B44)*Assumptions!$B$42</f>
        <v>0</v>
      </c>
      <c r="C50" s="35" t="n">
        <f aca="false">(C43+C44)*Assumptions!$B$42</f>
        <v>0</v>
      </c>
      <c r="D50" s="35" t="n">
        <f aca="false">(D43+D44)*Assumptions!$B$42</f>
        <v>0</v>
      </c>
      <c r="E50" s="35" t="n">
        <f aca="false">(E43+E44)*Assumptions!$B$42</f>
        <v>0</v>
      </c>
      <c r="F50" s="35" t="n">
        <f aca="false">(F43+F44)*Assumptions!$B$42</f>
        <v>0</v>
      </c>
    </row>
    <row r="51" customFormat="false" ht="15" hidden="false" customHeight="false" outlineLevel="0" collapsed="false">
      <c r="A51" s="12" t="s">
        <v>179</v>
      </c>
      <c r="B51" s="36" t="n">
        <f aca="false">SUM(B46:B50)</f>
        <v>1674400</v>
      </c>
      <c r="C51" s="36" t="n">
        <f aca="false">SUM(C46:C50)</f>
        <v>2788000</v>
      </c>
      <c r="D51" s="36" t="n">
        <f aca="false">SUM(D46:D50)</f>
        <v>3221600</v>
      </c>
      <c r="E51" s="36" t="n">
        <f aca="false">SUM(E46:E50)</f>
        <v>2956000</v>
      </c>
      <c r="F51" s="36" t="n">
        <f aca="false">SUM(F46:F50)</f>
        <v>2796000</v>
      </c>
    </row>
    <row r="52" customFormat="false" ht="15" hidden="false" customHeight="false" outlineLevel="0" collapsed="false">
      <c r="A52" s="12" t="s">
        <v>180</v>
      </c>
      <c r="B52" s="36" t="n">
        <f aca="false">B40+B45-B51</f>
        <v>-939480</v>
      </c>
      <c r="C52" s="36" t="n">
        <f aca="false">C40+C45-C51</f>
        <v>-111600</v>
      </c>
      <c r="D52" s="36" t="n">
        <f aca="false">D40+D45-D51</f>
        <v>1236280</v>
      </c>
      <c r="E52" s="36" t="n">
        <f aca="false">E40+E45-E51</f>
        <v>2476800</v>
      </c>
      <c r="F52" s="36" t="n">
        <f aca="false">F40+F45-F51</f>
        <v>2796800</v>
      </c>
    </row>
    <row r="53" customFormat="false" ht="15" hidden="false" customHeight="false" outlineLevel="0" collapsed="false">
      <c r="A53" s="10" t="s">
        <v>181</v>
      </c>
      <c r="B53" s="35" t="n">
        <f aca="false">B52</f>
        <v>-939480</v>
      </c>
      <c r="C53" s="35" t="n">
        <f aca="false">B53+C52</f>
        <v>-1051080</v>
      </c>
      <c r="D53" s="35" t="n">
        <f aca="false">C53+D52</f>
        <v>185200</v>
      </c>
      <c r="E53" s="35" t="n">
        <f aca="false">D53+E52</f>
        <v>2662000</v>
      </c>
      <c r="F53" s="35" t="n">
        <f aca="false">E53+F52</f>
        <v>5458800</v>
      </c>
    </row>
    <row r="54" customFormat="false" ht="15" hidden="false" customHeight="false" outlineLevel="0" collapsed="false">
      <c r="A54" s="10" t="s">
        <v>182</v>
      </c>
      <c r="B54" s="34" t="n">
        <f aca="false">IF(B53&gt;0,1,99)</f>
        <v>99</v>
      </c>
      <c r="C54" s="34" t="n">
        <f aca="false">IF(C53&gt;0,2,99)</f>
        <v>99</v>
      </c>
      <c r="D54" s="34" t="n">
        <f aca="false">IF(D53&gt;0,3,99)</f>
        <v>3</v>
      </c>
      <c r="E54" s="34" t="n">
        <f aca="false">IF(E53&gt;0,4,99)</f>
        <v>4</v>
      </c>
      <c r="F54" s="34" t="n">
        <f aca="false">IF(F53&gt;0,5,99)</f>
        <v>5</v>
      </c>
    </row>
    <row r="56" customFormat="false" ht="15" hidden="false" customHeight="false" outlineLevel="0" collapsed="false">
      <c r="A56" s="20" t="s">
        <v>184</v>
      </c>
      <c r="B56" s="21"/>
      <c r="C56" s="21"/>
      <c r="D56" s="21"/>
      <c r="E56" s="21"/>
      <c r="F56" s="21"/>
    </row>
    <row r="57" customFormat="false" ht="15" hidden="false" customHeight="false" outlineLevel="0" collapsed="false">
      <c r="A57" s="8" t="s">
        <v>159</v>
      </c>
      <c r="B57" s="9" t="s">
        <v>95</v>
      </c>
      <c r="C57" s="9" t="s">
        <v>96</v>
      </c>
      <c r="D57" s="9" t="s">
        <v>97</v>
      </c>
      <c r="E57" s="9" t="s">
        <v>98</v>
      </c>
      <c r="F57" s="9" t="s">
        <v>99</v>
      </c>
    </row>
    <row r="58" customFormat="false" ht="15" hidden="false" customHeight="false" outlineLevel="0" collapsed="false">
      <c r="A58" s="10" t="s">
        <v>160</v>
      </c>
      <c r="B58" s="34" t="n">
        <f aca="false">ROUND(Assumptions!$B$11*Assumptions!B$20,0)</f>
        <v>24</v>
      </c>
      <c r="C58" s="34" t="n">
        <f aca="false">ROUND(Assumptions!$B$11*Assumptions!C$20,0)</f>
        <v>80</v>
      </c>
      <c r="D58" s="34" t="n">
        <f aca="false">ROUND(Assumptions!$B$11*Assumptions!D$20,0)</f>
        <v>136</v>
      </c>
      <c r="E58" s="34" t="n">
        <f aca="false">ROUND(Assumptions!$B$11*Assumptions!E$20,0)</f>
        <v>160</v>
      </c>
      <c r="F58" s="34" t="n">
        <f aca="false">ROUND(Assumptions!$B$11*Assumptions!F$20,0)</f>
        <v>160</v>
      </c>
    </row>
    <row r="59" customFormat="false" ht="15" hidden="false" customHeight="false" outlineLevel="0" collapsed="false">
      <c r="A59" s="10" t="s">
        <v>161</v>
      </c>
      <c r="B59" s="34" t="n">
        <f aca="false">ROUND(Assumptions!$B$12*Assumptions!B$20,0)</f>
        <v>6</v>
      </c>
      <c r="C59" s="34" t="n">
        <f aca="false">ROUND(Assumptions!$B$12*Assumptions!C$20,0)</f>
        <v>20</v>
      </c>
      <c r="D59" s="34" t="n">
        <f aca="false">ROUND(Assumptions!$B$12*Assumptions!D$20,0)</f>
        <v>34</v>
      </c>
      <c r="E59" s="34" t="n">
        <f aca="false">ROUND(Assumptions!$B$12*Assumptions!E$20,0)</f>
        <v>40</v>
      </c>
      <c r="F59" s="34" t="n">
        <f aca="false">ROUND(Assumptions!$B$12*Assumptions!F$20,0)</f>
        <v>40</v>
      </c>
    </row>
    <row r="60" customFormat="false" ht="15" hidden="false" customHeight="false" outlineLevel="0" collapsed="false">
      <c r="A60" s="10" t="s">
        <v>162</v>
      </c>
      <c r="B60" s="34" t="n">
        <f aca="false">B58*Assumptions!$B$13</f>
        <v>72000</v>
      </c>
      <c r="C60" s="34" t="n">
        <f aca="false">C58*Assumptions!$B$13</f>
        <v>240000</v>
      </c>
      <c r="D60" s="34" t="n">
        <f aca="false">D58*Assumptions!$B$13</f>
        <v>408000</v>
      </c>
      <c r="E60" s="34" t="n">
        <f aca="false">E58*Assumptions!$B$13</f>
        <v>480000</v>
      </c>
      <c r="F60" s="34" t="n">
        <f aca="false">F58*Assumptions!$B$13</f>
        <v>480000</v>
      </c>
    </row>
    <row r="61" customFormat="false" ht="15" hidden="false" customHeight="false" outlineLevel="0" collapsed="false">
      <c r="A61" s="10" t="s">
        <v>163</v>
      </c>
      <c r="B61" s="34" t="n">
        <f aca="false">SUM(B59:B59)*Assumptions!$B$14</f>
        <v>21000</v>
      </c>
      <c r="C61" s="34" t="n">
        <f aca="false">SUM(B59:C59)*Assumptions!$B$14</f>
        <v>91000</v>
      </c>
      <c r="D61" s="34" t="n">
        <f aca="false">SUM(B59:D59)*Assumptions!$B$14</f>
        <v>210000</v>
      </c>
      <c r="E61" s="34" t="n">
        <f aca="false">SUM(B59:E59)*Assumptions!$B$14</f>
        <v>350000</v>
      </c>
      <c r="F61" s="34" t="n">
        <f aca="false">SUM(C59:F59)*Assumptions!$B$14</f>
        <v>469000</v>
      </c>
    </row>
    <row r="62" customFormat="false" ht="15" hidden="false" customHeight="false" outlineLevel="0" collapsed="false">
      <c r="A62" s="10" t="s">
        <v>164</v>
      </c>
      <c r="B62" s="35" t="n">
        <f aca="false">B58*Assumptions!$B$15*Assumptions!$B$24*Assumptions!$B$25*Assumptions!$B$8</f>
        <v>823200</v>
      </c>
      <c r="C62" s="35" t="n">
        <f aca="false">C58*Assumptions!$B$15*Assumptions!$B$24*Assumptions!$B$25*Assumptions!$B$8</f>
        <v>2744000</v>
      </c>
      <c r="D62" s="35" t="n">
        <f aca="false">D58*Assumptions!$B$15*Assumptions!$B$24*Assumptions!$B$25*Assumptions!$B$8</f>
        <v>4664800</v>
      </c>
      <c r="E62" s="35" t="n">
        <f aca="false">E58*Assumptions!$B$15*Assumptions!$B$24*Assumptions!$B$25*Assumptions!$B$8</f>
        <v>5488000</v>
      </c>
      <c r="F62" s="35" t="n">
        <f aca="false">F58*Assumptions!$B$15*Assumptions!$B$24*Assumptions!$B$25*Assumptions!$B$8</f>
        <v>5488000</v>
      </c>
    </row>
    <row r="63" customFormat="false" ht="15" hidden="false" customHeight="false" outlineLevel="0" collapsed="false">
      <c r="A63" s="10" t="s">
        <v>165</v>
      </c>
      <c r="B63" s="35" t="n">
        <f aca="false">B58*Assumptions!$B$13*Assumptions!$B$16*Assumptions!$B$26*Assumptions!$B$27*Assumptions!$B$28*Assumptions!$B$25*Assumptions!$B$8</f>
        <v>96768</v>
      </c>
      <c r="C63" s="35" t="n">
        <f aca="false">C58*Assumptions!$B$13*Assumptions!$B$16*Assumptions!$B$26*Assumptions!$B$27*Assumptions!$B$28*Assumptions!$B$25*Assumptions!$B$8</f>
        <v>322560</v>
      </c>
      <c r="D63" s="35" t="n">
        <f aca="false">D58*Assumptions!$B$13*Assumptions!$B$16*Assumptions!$B$26*Assumptions!$B$27*Assumptions!$B$28*Assumptions!$B$25*Assumptions!$B$8</f>
        <v>548352</v>
      </c>
      <c r="E63" s="35" t="n">
        <f aca="false">E58*Assumptions!$B$13*Assumptions!$B$16*Assumptions!$B$26*Assumptions!$B$27*Assumptions!$B$28*Assumptions!$B$25*Assumptions!$B$8</f>
        <v>645120</v>
      </c>
      <c r="F63" s="35" t="n">
        <f aca="false">F58*Assumptions!$B$13*Assumptions!$B$16*Assumptions!$B$26*Assumptions!$B$27*Assumptions!$B$28*Assumptions!$B$25*Assumptions!$B$8</f>
        <v>645120</v>
      </c>
    </row>
    <row r="64" customFormat="false" ht="15" hidden="false" customHeight="false" outlineLevel="0" collapsed="false">
      <c r="A64" s="10" t="s">
        <v>166</v>
      </c>
      <c r="B64" s="35" t="n">
        <f aca="false">B59*Assumptions!$B$29*Assumptions!$B$30*Assumptions!$B$31*Assumptions!$B$25*Assumptions!$B$8</f>
        <v>52920</v>
      </c>
      <c r="C64" s="35" t="n">
        <f aca="false">C59*Assumptions!$B$29*Assumptions!$B$30*Assumptions!$B$31*Assumptions!$B$25*Assumptions!$B$8</f>
        <v>176400</v>
      </c>
      <c r="D64" s="35" t="n">
        <f aca="false">D59*Assumptions!$B$29*Assumptions!$B$30*Assumptions!$B$31*Assumptions!$B$25*Assumptions!$B$8</f>
        <v>299880</v>
      </c>
      <c r="E64" s="35" t="n">
        <f aca="false">E59*Assumptions!$B$29*Assumptions!$B$30*Assumptions!$B$31*Assumptions!$B$25*Assumptions!$B$8</f>
        <v>352800</v>
      </c>
      <c r="F64" s="35" t="n">
        <f aca="false">F59*Assumptions!$B$29*Assumptions!$B$30*Assumptions!$B$31*Assumptions!$B$25*Assumptions!$B$8</f>
        <v>352800</v>
      </c>
    </row>
    <row r="65" customFormat="false" ht="15" hidden="false" customHeight="false" outlineLevel="0" collapsed="false">
      <c r="A65" s="10" t="s">
        <v>167</v>
      </c>
      <c r="B65" s="35" t="n">
        <f aca="false">B58*Assumptions!$B$32*Assumptions!$B$8</f>
        <v>0</v>
      </c>
      <c r="C65" s="35" t="n">
        <f aca="false">C58*Assumptions!$B$32*Assumptions!$B$8</f>
        <v>0</v>
      </c>
      <c r="D65" s="35" t="n">
        <f aca="false">D58*Assumptions!$B$32*Assumptions!$B$8</f>
        <v>0</v>
      </c>
      <c r="E65" s="35" t="n">
        <f aca="false">E58*Assumptions!$B$32*Assumptions!$B$8</f>
        <v>0</v>
      </c>
      <c r="F65" s="35" t="n">
        <f aca="false">F58*Assumptions!$B$32*Assumptions!$B$8</f>
        <v>0</v>
      </c>
    </row>
    <row r="66" customFormat="false" ht="15" hidden="false" customHeight="false" outlineLevel="0" collapsed="false">
      <c r="A66" s="12" t="s">
        <v>168</v>
      </c>
      <c r="B66" s="36" t="n">
        <f aca="false">SUM(B62:B65)</f>
        <v>972888</v>
      </c>
      <c r="C66" s="36" t="n">
        <f aca="false">SUM(C62:C65)</f>
        <v>3242960</v>
      </c>
      <c r="D66" s="36" t="n">
        <f aca="false">SUM(D62:D65)</f>
        <v>5513032</v>
      </c>
      <c r="E66" s="36" t="n">
        <f aca="false">SUM(E62:E65)</f>
        <v>6485920</v>
      </c>
      <c r="F66" s="36" t="n">
        <f aca="false">SUM(F62:F65)</f>
        <v>6485920</v>
      </c>
    </row>
    <row r="67" customFormat="false" ht="15" hidden="false" customHeight="false" outlineLevel="0" collapsed="false">
      <c r="A67" s="10" t="s">
        <v>169</v>
      </c>
      <c r="B67" s="35" t="n">
        <f aca="false">IF(B60&gt;=Assumptions!$B$37,Assumptions!B$45*Assumptions!$B$36*Assumptions!$C$8,0)</f>
        <v>0</v>
      </c>
      <c r="C67" s="35" t="n">
        <f aca="false">IF(C60&gt;=Assumptions!$B$37,Assumptions!C$45*Assumptions!$B$36*Assumptions!$C$8,0)</f>
        <v>276000</v>
      </c>
      <c r="D67" s="35" t="n">
        <f aca="false">IF(D60&gt;=Assumptions!$B$37,Assumptions!D$45*Assumptions!$B$36*Assumptions!$C$8,0)</f>
        <v>414000</v>
      </c>
      <c r="E67" s="35" t="n">
        <f aca="false">IF(E60&gt;=Assumptions!$B$37,Assumptions!E$45*Assumptions!$B$36*Assumptions!$C$8,0)</f>
        <v>690000</v>
      </c>
      <c r="F67" s="35" t="n">
        <f aca="false">IF(F60&gt;=Assumptions!$B$37,Assumptions!F$45*Assumptions!$B$36*Assumptions!$C$8,0)</f>
        <v>828000</v>
      </c>
    </row>
    <row r="68" customFormat="false" ht="15" hidden="false" customHeight="false" outlineLevel="0" collapsed="false">
      <c r="A68" s="10" t="s">
        <v>170</v>
      </c>
      <c r="B68" s="35" t="n">
        <f aca="false">Assumptions!B$46*Assumptions!$B$38*Assumptions!$C$8</f>
        <v>46000</v>
      </c>
      <c r="C68" s="35" t="n">
        <f aca="false">Assumptions!C$46*Assumptions!$B$38*Assumptions!$C$8</f>
        <v>138000</v>
      </c>
      <c r="D68" s="35" t="n">
        <f aca="false">Assumptions!D$46*Assumptions!$B$38*Assumptions!$C$8</f>
        <v>184000</v>
      </c>
      <c r="E68" s="35" t="n">
        <f aca="false">Assumptions!E$46*Assumptions!$B$38*Assumptions!$C$8</f>
        <v>230000</v>
      </c>
      <c r="F68" s="35" t="n">
        <f aca="false">Assumptions!F$46*Assumptions!$B$38*Assumptions!$C$8</f>
        <v>276000</v>
      </c>
    </row>
    <row r="69" customFormat="false" ht="15" hidden="false" customHeight="false" outlineLevel="0" collapsed="false">
      <c r="A69" s="10" t="s">
        <v>171</v>
      </c>
      <c r="B69" s="35" t="n">
        <f aca="false">IF(B61&gt;=Assumptions!$B$40,Assumptions!B$47*Assumptions!$B$39*Assumptions!$C$8,0)</f>
        <v>0</v>
      </c>
      <c r="C69" s="35" t="n">
        <f aca="false">IF(C61&gt;=Assumptions!$B$40,Assumptions!C$47*Assumptions!$B$39*Assumptions!$C$8,0)</f>
        <v>0</v>
      </c>
      <c r="D69" s="35" t="n">
        <f aca="false">IF(D61&gt;=Assumptions!$B$40,Assumptions!D$47*Assumptions!$B$39*Assumptions!$C$8,0)</f>
        <v>0</v>
      </c>
      <c r="E69" s="35" t="n">
        <f aca="false">IF(E61&gt;=Assumptions!$B$40,Assumptions!E$47*Assumptions!$B$39*Assumptions!$C$8,0)</f>
        <v>0</v>
      </c>
      <c r="F69" s="35" t="n">
        <f aca="false">IF(F61&gt;=Assumptions!$B$40,Assumptions!F$47*Assumptions!$B$39*Assumptions!$C$8,0)</f>
        <v>0</v>
      </c>
    </row>
    <row r="70" customFormat="false" ht="15" hidden="false" customHeight="false" outlineLevel="0" collapsed="false">
      <c r="A70" s="10" t="s">
        <v>172</v>
      </c>
      <c r="B70" s="35" t="n">
        <f aca="false">IF(B61&gt;=Assumptions!$B$41,Assumptions!B$48*Assumptions!$B$39*Assumptions!$C$8,0)</f>
        <v>0</v>
      </c>
      <c r="C70" s="35" t="n">
        <f aca="false">IF(C61&gt;=Assumptions!$B$41,Assumptions!C$48*Assumptions!$B$39*Assumptions!$C$8,0)</f>
        <v>0</v>
      </c>
      <c r="D70" s="35" t="n">
        <f aca="false">IF(D61&gt;=Assumptions!$B$41,Assumptions!D$48*Assumptions!$B$39*Assumptions!$C$8,0)</f>
        <v>0</v>
      </c>
      <c r="E70" s="35" t="n">
        <f aca="false">IF(E61&gt;=Assumptions!$B$41,Assumptions!E$48*Assumptions!$B$39*Assumptions!$C$8,0)</f>
        <v>0</v>
      </c>
      <c r="F70" s="35" t="n">
        <f aca="false">IF(F61&gt;=Assumptions!$B$41,Assumptions!F$48*Assumptions!$B$39*Assumptions!$C$8,0)</f>
        <v>0</v>
      </c>
    </row>
    <row r="71" customFormat="false" ht="15" hidden="false" customHeight="false" outlineLevel="0" collapsed="false">
      <c r="A71" s="12" t="s">
        <v>173</v>
      </c>
      <c r="B71" s="36" t="n">
        <f aca="false">SUM(B67:B70)</f>
        <v>46000</v>
      </c>
      <c r="C71" s="36" t="n">
        <f aca="false">SUM(C67:C70)</f>
        <v>414000</v>
      </c>
      <c r="D71" s="36" t="n">
        <f aca="false">SUM(D67:D70)</f>
        <v>598000</v>
      </c>
      <c r="E71" s="36" t="n">
        <f aca="false">SUM(E67:E70)</f>
        <v>920000</v>
      </c>
      <c r="F71" s="36" t="n">
        <f aca="false">SUM(F67:F70)</f>
        <v>1104000</v>
      </c>
    </row>
    <row r="72" customFormat="false" ht="15" hidden="false" customHeight="false" outlineLevel="0" collapsed="false">
      <c r="A72" s="10" t="s">
        <v>174</v>
      </c>
      <c r="B72" s="35" t="n">
        <f aca="false">Assumptions!B$59*Assumptions!$B$52</f>
        <v>1000000</v>
      </c>
      <c r="C72" s="35" t="n">
        <f aca="false">Assumptions!C$59*Assumptions!$B$52</f>
        <v>1600000</v>
      </c>
      <c r="D72" s="35" t="n">
        <f aca="false">Assumptions!D$59*Assumptions!$B$52</f>
        <v>2000000</v>
      </c>
      <c r="E72" s="35" t="n">
        <f aca="false">Assumptions!E$59*Assumptions!$B$52</f>
        <v>2200000</v>
      </c>
      <c r="F72" s="35" t="n">
        <f aca="false">Assumptions!F$59*Assumptions!$B$52</f>
        <v>2400000</v>
      </c>
    </row>
    <row r="73" customFormat="false" ht="15" hidden="false" customHeight="false" outlineLevel="0" collapsed="false">
      <c r="A73" s="10" t="s">
        <v>175</v>
      </c>
      <c r="B73" s="35" t="n">
        <f aca="false">B58*Assumptions!$B$53</f>
        <v>360000</v>
      </c>
      <c r="C73" s="35" t="n">
        <f aca="false">MAX(0,C58-B58)*Assumptions!$B$53</f>
        <v>840000</v>
      </c>
      <c r="D73" s="35" t="n">
        <f aca="false">MAX(0,D58-C58)*Assumptions!$B$53</f>
        <v>840000</v>
      </c>
      <c r="E73" s="35" t="n">
        <f aca="false">MAX(0,E58-D58)*Assumptions!$B$53</f>
        <v>360000</v>
      </c>
      <c r="F73" s="35" t="n">
        <f aca="false">MAX(0,F58-E58)*Assumptions!$B$53</f>
        <v>0</v>
      </c>
    </row>
    <row r="74" customFormat="false" ht="15" hidden="false" customHeight="false" outlineLevel="0" collapsed="false">
      <c r="A74" s="10" t="s">
        <v>176</v>
      </c>
      <c r="B74" s="35" t="n">
        <f aca="false">Assumptions!$B$54+B58*Assumptions!$B$55</f>
        <v>164400</v>
      </c>
      <c r="C74" s="35" t="n">
        <f aca="false">Assumptions!$B$54+C58*Assumptions!$B$55</f>
        <v>198000</v>
      </c>
      <c r="D74" s="35" t="n">
        <f aca="false">Assumptions!$B$54+D58*Assumptions!$B$55</f>
        <v>231600</v>
      </c>
      <c r="E74" s="35" t="n">
        <f aca="false">Assumptions!$B$54+E58*Assumptions!$B$55</f>
        <v>246000</v>
      </c>
      <c r="F74" s="35" t="n">
        <f aca="false">Assumptions!$B$54+F58*Assumptions!$B$55</f>
        <v>246000</v>
      </c>
    </row>
    <row r="75" customFormat="false" ht="15" hidden="false" customHeight="false" outlineLevel="0" collapsed="false">
      <c r="A75" s="10" t="s">
        <v>177</v>
      </c>
      <c r="B75" s="35" t="n">
        <f aca="false">Assumptions!$B$56</f>
        <v>150000</v>
      </c>
      <c r="C75" s="35" t="n">
        <f aca="false">Assumptions!$B$56</f>
        <v>150000</v>
      </c>
      <c r="D75" s="35" t="n">
        <f aca="false">Assumptions!$B$56</f>
        <v>150000</v>
      </c>
      <c r="E75" s="35" t="n">
        <f aca="false">Assumptions!$B$56</f>
        <v>150000</v>
      </c>
      <c r="F75" s="35" t="n">
        <f aca="false">Assumptions!$B$56</f>
        <v>150000</v>
      </c>
    </row>
    <row r="76" customFormat="false" ht="15" hidden="false" customHeight="false" outlineLevel="0" collapsed="false">
      <c r="A76" s="10" t="s">
        <v>178</v>
      </c>
      <c r="B76" s="35" t="n">
        <f aca="false">(B69+B70)*Assumptions!$B$42</f>
        <v>0</v>
      </c>
      <c r="C76" s="35" t="n">
        <f aca="false">(C69+C70)*Assumptions!$B$42</f>
        <v>0</v>
      </c>
      <c r="D76" s="35" t="n">
        <f aca="false">(D69+D70)*Assumptions!$B$42</f>
        <v>0</v>
      </c>
      <c r="E76" s="35" t="n">
        <f aca="false">(E69+E70)*Assumptions!$B$42</f>
        <v>0</v>
      </c>
      <c r="F76" s="35" t="n">
        <f aca="false">(F69+F70)*Assumptions!$B$42</f>
        <v>0</v>
      </c>
    </row>
    <row r="77" customFormat="false" ht="15" hidden="false" customHeight="false" outlineLevel="0" collapsed="false">
      <c r="A77" s="12" t="s">
        <v>179</v>
      </c>
      <c r="B77" s="36" t="n">
        <f aca="false">SUM(B72:B76)</f>
        <v>1674400</v>
      </c>
      <c r="C77" s="36" t="n">
        <f aca="false">SUM(C72:C76)</f>
        <v>2788000</v>
      </c>
      <c r="D77" s="36" t="n">
        <f aca="false">SUM(D72:D76)</f>
        <v>3221600</v>
      </c>
      <c r="E77" s="36" t="n">
        <f aca="false">SUM(E72:E76)</f>
        <v>2956000</v>
      </c>
      <c r="F77" s="36" t="n">
        <f aca="false">SUM(F72:F76)</f>
        <v>2796000</v>
      </c>
    </row>
    <row r="78" customFormat="false" ht="15" hidden="false" customHeight="false" outlineLevel="0" collapsed="false">
      <c r="A78" s="12" t="s">
        <v>180</v>
      </c>
      <c r="B78" s="36" t="n">
        <f aca="false">B66+B71-B77</f>
        <v>-655512</v>
      </c>
      <c r="C78" s="36" t="n">
        <f aca="false">C66+C71-C77</f>
        <v>868960</v>
      </c>
      <c r="D78" s="36" t="n">
        <f aca="false">D66+D71-D77</f>
        <v>2889432</v>
      </c>
      <c r="E78" s="36" t="n">
        <f aca="false">E66+E71-E77</f>
        <v>4449920</v>
      </c>
      <c r="F78" s="36" t="n">
        <f aca="false">F66+F71-F77</f>
        <v>4793920</v>
      </c>
    </row>
    <row r="79" customFormat="false" ht="15" hidden="false" customHeight="false" outlineLevel="0" collapsed="false">
      <c r="A79" s="10" t="s">
        <v>181</v>
      </c>
      <c r="B79" s="35" t="n">
        <f aca="false">B78</f>
        <v>-655512</v>
      </c>
      <c r="C79" s="35" t="n">
        <f aca="false">B79+C78</f>
        <v>213448</v>
      </c>
      <c r="D79" s="35" t="n">
        <f aca="false">C79+D78</f>
        <v>3102880</v>
      </c>
      <c r="E79" s="35" t="n">
        <f aca="false">D79+E78</f>
        <v>7552800</v>
      </c>
      <c r="F79" s="35" t="n">
        <f aca="false">E79+F78</f>
        <v>12346720</v>
      </c>
    </row>
    <row r="80" customFormat="false" ht="15" hidden="false" customHeight="false" outlineLevel="0" collapsed="false">
      <c r="A80" s="10" t="s">
        <v>182</v>
      </c>
      <c r="B80" s="34" t="n">
        <f aca="false">IF(B79&gt;0,1,99)</f>
        <v>99</v>
      </c>
      <c r="C80" s="34" t="n">
        <f aca="false">IF(C79&gt;0,2,99)</f>
        <v>2</v>
      </c>
      <c r="D80" s="34" t="n">
        <f aca="false">IF(D79&gt;0,3,99)</f>
        <v>3</v>
      </c>
      <c r="E80" s="34" t="n">
        <f aca="false">IF(E79&gt;0,4,99)</f>
        <v>4</v>
      </c>
      <c r="F80" s="34" t="n">
        <f aca="false">IF(F79&gt;0,5,99)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2026-10-02T05:37:07Z</dcterms:created>
  <dc:creator>openpyxl</dc:creator>
  <dc:description/>
  <dc:language>en-US</dc:language>
  <cp:lastModifiedBy/>
  <dcterms:modified xsi:type="dcterms:W3CDTF">2026-10-02T05:37:07Z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