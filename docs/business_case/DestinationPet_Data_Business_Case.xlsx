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ummary" sheetId="2" state="visible" r:id="rId4"/>
    <sheet name="Scale Gates" sheetId="3" state="visible" r:id="rId5"/>
    <sheet name="Company Facts" sheetId="4" state="visible" r:id="rId6"/>
    <sheet name="Assumptions" sheetId="5" state="visible" r:id="rId7"/>
    <sheet name="Model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<sst xmlns="http://schemas.openxmlformats.org/spreadsheetml/2006/main" count="465" uniqueCount="232">
  <si>
    <t xml:space="preserve">Destination Pet: business case for a connected-care data platform</t>
  </si>
  <si>
    <t xml:space="preserve">Prepared as a portfolio exercise by Chris Lavelle, from public information only. Not affiliated with or reviewed by Destination Pet.</t>
  </si>
  <si>
    <t xml:space="preserve">The question</t>
  </si>
  <si>
    <t xml:space="preserve">What is a data and analytics platform worth to Destination Pet, given that it owns every location and therefore its own data?</t>
  </si>
  <si>
    <t xml:space="preserve">How ownership changes the case</t>
  </si>
  <si>
    <t xml:space="preserve">1. No partner incentives: the largest variable cost in the partner-network version of this model disappears.</t>
  </si>
  <si>
    <t xml:space="preserve">2. Most value is internal: staffing, cross-selling across Connected Care services, and clinical quality, which raise EBITDA directly and therefore exit value.</t>
  </si>
  <si>
    <t xml:space="preserve">3. External data sales are possible but gated by scale; some products (rare drug-safety studies) need far more veterinary volume than one company has.</t>
  </si>
  <si>
    <t xml:space="preserve">4. New costs appear instead: unifying systems across acquired brands, and consent and privacy work.</t>
  </si>
  <si>
    <t xml:space="preserve">How to use</t>
  </si>
  <si>
    <t xml:space="preserve">Edit blue cells on the Assumptions sheet. Peach cells are company facts to confirm with Destination Pet finance and operations. Yellow cells are the key levers.</t>
  </si>
  <si>
    <t xml:space="preserve">The Summary sheet shows both cases (owned; owned plus bought partner data) in three scenarios; the Model sheet shows the year-by-year build.</t>
  </si>
  <si>
    <t xml:space="preserve">Case 3: owned network plus partner data</t>
  </si>
  <si>
    <t xml:space="preserve">Destination Pet also buys de-identified records from independent vet clinics. Partner data adds no staffing or cross-sell value (those come from operating the locations); it adds veterinary volume for drug-safety studies, wider coverage for licenses and reports, and scorecard subscriptions sold back to partners.</t>
  </si>
  <si>
    <t xml:space="preserve">Important</t>
  </si>
  <si>
    <t xml:space="preserve">Operating inputs (labor cost, customers and patients per location, prices, the number of veterinary locations) are ILLUSTRATIVE PLACEHOLDERS. Effect sizes from TailSignal come from simulated data and carry a realization haircut. Replace inputs with company data before any decision.</t>
  </si>
  <si>
    <t xml:space="preserve">Summary by case and scenario</t>
  </si>
  <si>
    <t xml:space="preserve">Placeholders drive these results; see Read Me.</t>
  </si>
  <si>
    <t xml:space="preserve">Case 2: owned network</t>
  </si>
  <si>
    <t xml:space="preserve">Low</t>
  </si>
  <si>
    <t xml:space="preserve">Base</t>
  </si>
  <si>
    <t xml:space="preserve">High</t>
  </si>
  <si>
    <t xml:space="preserve">Internal value, Year 5 (EBITDA)</t>
  </si>
  <si>
    <t xml:space="preserve">External data revenue, Year 5</t>
  </si>
  <si>
    <t xml:space="preserve">Platform cost, Year 5</t>
  </si>
  <si>
    <t xml:space="preserve">Net EBITDA impact, Year 5</t>
  </si>
  <si>
    <t xml:space="preserve">Cumulative net impact, Years 1-5</t>
  </si>
  <si>
    <t xml:space="preserve">Enterprise value from Year-5 net impact (x exit multiple)</t>
  </si>
  <si>
    <t xml:space="preserve">Payback year (cumulative impact turns positive)</t>
  </si>
  <si>
    <t xml:space="preserve">Case 3: owned network + partner data</t>
  </si>
  <si>
    <t xml:space="preserve">Where Year-5 value comes from (Base)</t>
  </si>
  <si>
    <t xml:space="preserve">Case 2 ($)</t>
  </si>
  <si>
    <t xml:space="preserve">Case 3 ($)</t>
  </si>
  <si>
    <t xml:space="preserve">Staffing savings</t>
  </si>
  <si>
    <t xml:space="preserve">Connected Care cross-sell</t>
  </si>
  <si>
    <t xml:space="preserve">Dental capture</t>
  </si>
  <si>
    <t xml:space="preserve">Membership retention</t>
  </si>
  <si>
    <t xml:space="preserve">Data licenses</t>
  </si>
  <si>
    <t xml:space="preserve">Research reports</t>
  </si>
  <si>
    <t xml:space="preserve">Common side-effect studies</t>
  </si>
  <si>
    <t xml:space="preserve">Rare side-effect studies</t>
  </si>
  <si>
    <t xml:space="preserve">Premium scorecards sold to partners</t>
  </si>
  <si>
    <t xml:space="preserve">Partner data fees and onboarding (cost)</t>
  </si>
  <si>
    <t xml:space="preserve">What the owned network unlocks alone, and with partner data</t>
  </si>
  <si>
    <t xml:space="preserve">Capability</t>
  </si>
  <si>
    <t xml:space="preserve">Needs</t>
  </si>
  <si>
    <t xml:space="preserve">Case 2: year reached</t>
  </si>
  <si>
    <t xml:space="preserve">Case 2: Year 5</t>
  </si>
  <si>
    <t xml:space="preserve">Case 3: year reached</t>
  </si>
  <si>
    <t xml:space="preserve">Case 3: Year 5</t>
  </si>
  <si>
    <t xml:space="preserve">Implication</t>
  </si>
  <si>
    <t xml:space="preserve">Data licenses (pets observed per year)</t>
  </si>
  <si>
    <t xml:space="preserve">Reached early: owning every channel gives volume quickly</t>
  </si>
  <si>
    <t xml:space="preserve">Common side-effect studies (dog records, 4 yrs)</t>
  </si>
  <si>
    <t xml:space="preserve">Depends on veterinary volume, not resort volume</t>
  </si>
  <si>
    <t xml:space="preserve">Rare side-effect studies (dog records, 4 yrs)</t>
  </si>
  <si>
    <t xml:space="preserve">Out of reach for the owned network alone; partner data closes the gap</t>
  </si>
  <si>
    <t xml:space="preserve">Fact</t>
  </si>
  <si>
    <t xml:space="preserve">Value</t>
  </si>
  <si>
    <t xml:space="preserve">Source</t>
  </si>
  <si>
    <t xml:space="preserve">Services</t>
  </si>
  <si>
    <t xml:space="preserve">Boarding, daycare, grooming, training, veterinary care</t>
  </si>
  <si>
    <t xml:space="preserve">https://www.destinationpet.com/about-us/about/</t>
  </si>
  <si>
    <t xml:space="preserve">Operating model</t>
  </si>
  <si>
    <t xml:space="preserve">Connected Care across services; Yourgi pet app</t>
  </si>
  <si>
    <t xml:space="preserve">Locations</t>
  </si>
  <si>
    <t xml:space="preserve">190+ locations in more than 35 states (January 2024)</t>
  </si>
  <si>
    <t xml:space="preserve">https://www.stocktitan.net/news/SYF/synchrony-expands-into-pet-resorts-with-care-credit-offering-at-52p3ca1mghq4.html</t>
  </si>
  <si>
    <t xml:space="preserve">Locations page</t>
  </si>
  <si>
    <t xml:space="preserve">"100s of locations nationwide"; 152 listed when checked on 3 October 2026, 28 with a veterinary name (animal hospital, veterinary hospital or clinic)</t>
  </si>
  <si>
    <t xml:space="preserve">https://www.destinationpet.com/our-locations/</t>
  </si>
  <si>
    <t xml:space="preserve">Earlier count</t>
  </si>
  <si>
    <t xml:space="preserve">160+ in more than 31 states (June 2023)</t>
  </si>
  <si>
    <t xml:space="preserve">https://www.prnewswire.com/news-releases/destination-pet-strengthens-position-in-the-pet-care-industry-with-pet-palace-acquisition-301856956.html</t>
  </si>
  <si>
    <t xml:space="preserve">VitalPet acquisition</t>
  </si>
  <si>
    <t xml:space="preserve">24 veterinary hospitals in seven states (March 2020)</t>
  </si>
  <si>
    <t xml:space="preserve">https://www.prnewswire.com/news-releases/destination-pet-to-acquire-vitalpet-301024514.html</t>
  </si>
  <si>
    <t xml:space="preserve">Acquisition example</t>
  </si>
  <si>
    <t xml:space="preserve">Pet Palace: 11 facilities, 500+ employees (June 2023)</t>
  </si>
  <si>
    <t xml:space="preserve">Same press release</t>
  </si>
  <si>
    <t xml:space="preserve">Owner</t>
  </si>
  <si>
    <t xml:space="preserve">LetterOne (acquired November 2019)</t>
  </si>
  <si>
    <t xml:space="preserve">https://www.cbinsights.com/company/destination-pet</t>
  </si>
  <si>
    <t xml:space="preserve">2025 performance</t>
  </si>
  <si>
    <t xml:space="preserve">Return to full-year profitability; revenue ahead of plan; M&amp;A accretive</t>
  </si>
  <si>
    <t xml:space="preserve">https://letterone.com/news-and-insights/2025-year-in-review-l1-health/</t>
  </si>
  <si>
    <t xml:space="preserve">Yourgi app</t>
  </si>
  <si>
    <t xml:space="preserve">Gross booking value growing &gt;100% a year; became a two-sided marketplace in November 2025</t>
  </si>
  <si>
    <t xml:space="preserve">Same LetterOne review</t>
  </si>
  <si>
    <t xml:space="preserve">Not public (confirm)</t>
  </si>
  <si>
    <t xml:space="preserve">Number of veterinary locations, revenue and labor cost per location, active pets</t>
  </si>
  <si>
    <t xml:space="preserve">Inputs on the Assumptions sheet are placeholders</t>
  </si>
  <si>
    <t xml:space="preserve">Assumptions</t>
  </si>
  <si>
    <t xml:space="preserve">Blue = input · peach fill = company fact to confirm · yellow fill = key lever</t>
  </si>
  <si>
    <t xml:space="preserve">Scenarios</t>
  </si>
  <si>
    <t xml:space="preserve">Scenario</t>
  </si>
  <si>
    <t xml:space="preserve">Value effects ×</t>
  </si>
  <si>
    <t xml:space="preserve">External prices ×</t>
  </si>
  <si>
    <t xml:space="preserve">Note</t>
  </si>
  <si>
    <t xml:space="preserve">Value effects scale every internal benefit; prices scale every external sale</t>
  </si>
  <si>
    <t xml:space="preserve">Network (company facts to confirm)</t>
  </si>
  <si>
    <t xml:space="preserve">Locations (all service types)</t>
  </si>
  <si>
    <t xml:space="preserve">Public: 190+ in 35+ states (January 2024); the website says "100s" and lists 152</t>
  </si>
  <si>
    <t xml:space="preserve">Locations with a veterinary clinic</t>
  </si>
  <si>
    <t xml:space="preserve">Not public: 28 listed locations carry a veterinary name; VitalPet brought 24 hospitals in 2020</t>
  </si>
  <si>
    <t xml:space="preserve">Unique pets served per location per year</t>
  </si>
  <si>
    <t xml:space="preserve">Not public; placeholder</t>
  </si>
  <si>
    <t xml:space="preserve">Dogs with veterinary records per vet clinic per year</t>
  </si>
  <si>
    <t xml:space="preserve">Daycare and boarding labor cost per location ($ per year)</t>
  </si>
  <si>
    <t xml:space="preserve">Share of resort customers not using a company vet</t>
  </si>
  <si>
    <t xml:space="preserve">Rollout</t>
  </si>
  <si>
    <t xml:space="preserve">Item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</si>
  <si>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</si>
  <si>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</si>
  <si>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</si>
  <si>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</si>
  <si>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</si>
  <si>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Share of locations live on the platform</t>
  </si>
  <si>
    <t xml:space="preserve">Systems from acquired brands unified over two to three years</t>
  </si>
  <si>
    <t xml:space="preserve">Internal value drivers (effects from TailSignal, with a realization haircut)</t>
  </si>
  <si>
    <t xml:space="preserve">Driver</t>
  </si>
  <si>
    <t xml:space="preserve">Evidence</t>
  </si>
  <si>
    <t xml:space="preserve">Daycare staffing cost reduction from demand forecasting</t>
  </si>
  <si>
    <t xml:space="preserve">TailSignal backtest, simulated data: 7% lower staffing cost than the seasonal baseline (docs/analytics_results.md)</t>
  </si>
  <si>
    <t xml:space="preserve">Realization of simulated effects in practice</t>
  </si>
  <si>
    <t xml:space="preserve">Haircut for moving from simulation to operations</t>
  </si>
  <si>
    <t xml:space="preserve">Extra conversion of resort customers to company vet care (points)</t>
  </si>
  <si>
    <t xml:space="preserve">Assumption: targeted Connected Care offers from daycare, boarding and grooming records</t>
  </si>
  <si>
    <t xml:space="preserve">Annual veterinary revenue per new client ($)</t>
  </si>
  <si>
    <t xml:space="preserve">Placeholder</t>
  </si>
  <si>
    <t xml:space="preserve">Contribution margin on added veterinary revenue</t>
  </si>
  <si>
    <t xml:space="preserve">Extra dental cleanings per vet clinic per year from better charting</t>
  </si>
  <si>
    <t xml:space="preserve">TailSignal: under-charting clinics record 35-43% less dental disease; bring them to the median</t>
  </si>
  <si>
    <t xml:space="preserve">Average dental cleaning price ($)</t>
  </si>
  <si>
    <t xml:space="preserve">Contribution margin on dental cleanings</t>
  </si>
  <si>
    <t xml:space="preserve">Membership retention benefit per location ($ per year)</t>
  </si>
  <si>
    <t xml:space="preserve">TailSignal reminder-targeting pilot was inconclusive; set to zero until a larger pilot proves it</t>
  </si>
  <si>
    <t xml:space="preserve">External data revenue (illustrative prices)</t>
  </si>
  <si>
    <t xml:space="preserve">Basis</t>
  </si>
  <si>
    <t xml:space="preserve">Data-license annual contract value ($)</t>
  </si>
  <si>
    <t xml:space="preserve">De-identified cohort, Pet Health Index, service benchmarks</t>
  </si>
  <si>
    <t xml:space="preserve">Pets observed per year needed before licensing</t>
  </si>
  <si>
    <t xml:space="preserve">Privacy: 8% of pets suppressed at ~12,700 pets; assume ~8x that for clean releases</t>
  </si>
  <si>
    <t xml:space="preserve">Research report average price ($)</t>
  </si>
  <si>
    <t xml:space="preserve">Pet food, dental-care and drug makers</t>
  </si>
  <si>
    <t xml:space="preserve">Signal-validation study price ($ per study)</t>
  </si>
  <si>
    <t xml:space="preserve">Drug-safety study for a manufacturer</t>
  </si>
  <si>
    <t xml:space="preserve">Dog records needed for common side-effect studies (4-year window)</t>
  </si>
  <si>
    <t xml:space="preserve">TailSignal Model A2: ~80x a 9,900-dog network</t>
  </si>
  <si>
    <t xml:space="preserve">Dog records needed for rare side-effect studies (4-year window)</t>
  </si>
  <si>
    <t xml:space="preserve">TailSignal Model A2: ~130x a 9,900-dog network</t>
  </si>
  <si>
    <t xml:space="preserve">Study delivery cost (% of study revenue)</t>
  </si>
  <si>
    <t xml:space="preserve">Clinical review and annotation</t>
  </si>
  <si>
    <t xml:space="preserve">Volume by year</t>
  </si>
  <si>
    <t xml:space="preserve">Data licensees</t>
  </si>
  <si>
    <t xml:space="preserve">Sold only once the license gate is met</t>
  </si>
  <si>
    <t xml:space="preserve">Research reports sold</t>
  </si>
  <si>
    <t xml:space="preserve">Common side-effect studies (if gate met)</t>
  </si>
  <si>
    <t xml:space="preserve">Rare side-effect studies (if gate met)</t>
  </si>
  <si>
    <t xml:space="preserve">Case 3: partner data bought from independent vet clinics</t>
  </si>
  <si>
    <t xml:space="preserve">Data fee paid per partner clinic ($ per year)</t>
  </si>
  <si>
    <t xml:space="preserve">Same incentive as the partner-network case</t>
  </si>
  <si>
    <t xml:space="preserve">Onboarding cost per new partner clinic (one-time, $)</t>
  </si>
  <si>
    <t xml:space="preserve">Data-feed mapping and contract</t>
  </si>
  <si>
    <t xml:space="preserve">Dogs with veterinary records per partner clinic per year</t>
  </si>
  <si>
    <t xml:space="preserve">Same placeholder as company clinics</t>
  </si>
  <si>
    <t xml:space="preserve">Pets observed per partner clinic per year</t>
  </si>
  <si>
    <t xml:space="preserve">Partner clinics buying the premium scorecard</t>
  </si>
  <si>
    <t xml:space="preserve">Partner-network case assumption</t>
  </si>
  <si>
    <t xml:space="preserve">Premium scorecard price ($ per clinic per year)</t>
  </si>
  <si>
    <t xml:space="preserve">Partner-network case price</t>
  </si>
  <si>
    <t xml:space="preserve">Case 3 volume by year</t>
  </si>
  <si>
    <t xml:space="preserve">Partner vet clinics supplying data</t>
  </si>
  <si>
    <t xml:space="preserve">About 60 partner clinics on top of 30 company clinics clear the rare-study gate over four years</t>
  </si>
  <si>
    <t xml:space="preserve">Added data-team headcount (partner data)</t>
  </si>
  <si>
    <t xml:space="preserve">Partner management and data engineering</t>
  </si>
  <si>
    <t xml:space="preserve">Data licensees (Case 3)</t>
  </si>
  <si>
    <t xml:space="preserve">Wider veterinary coverage</t>
  </si>
  <si>
    <t xml:space="preserve">Research reports sold (Case 3)</t>
  </si>
  <si>
    <t xml:space="preserve">Common side-effect studies (Case 3, if gate met)</t>
  </si>
  <si>
    <t xml:space="preserve">Rare side-effect studies (Case 3, if gate met)</t>
  </si>
  <si>
    <t xml:space="preserve">Costs</t>
  </si>
  <si>
    <t xml:space="preserve">Loaded cost per data-team employee ($ per year)</t>
  </si>
  <si>
    <t xml:space="preserve">System integration cost per location (one-time, $)</t>
  </si>
  <si>
    <t xml:space="preserve">Unify practice-management and booking systems from acquired brands</t>
  </si>
  <si>
    <t xml:space="preserve">Cloud and tooling, fixed ($ per year)</t>
  </si>
  <si>
    <t xml:space="preserve">Cloud and tooling per live location ($ per year)</t>
  </si>
  <si>
    <t xml:space="preserve">Privacy, consent and legal ($ per year)</t>
  </si>
  <si>
    <t xml:space="preserve">Customer consent for de-identified use; data-sale contracts</t>
  </si>
  <si>
    <t xml:space="preserve">Headcount by year</t>
  </si>
  <si>
    <t xml:space="preserve">Data team headcount</t>
  </si>
  <si>
    <t xml:space="preserve">Data science, data engineering, analytics product, privacy</t>
  </si>
  <si>
    <t xml:space="preserve">Valuation</t>
  </si>
  <si>
    <t xml:space="preserve">EV / EBITDA exit multiple applied to run-rate uplift</t>
  </si>
  <si>
    <t xml:space="preserve">Placeholder for a PE-owned multi-site pet services business; confirm with the deal team</t>
  </si>
  <si>
    <t xml:space="preserve">Five-year build by case and scenario ($)</t>
  </si>
  <si>
    <t xml:space="preserve">All cells are formulas driven by the Assumptions sheet.</t>
  </si>
  <si>
    <t xml:space="preserve">Case 2: owned network, Low scenario</t>
  </si>
  <si>
    <t xml:space="preserve">Line</t>
  </si>
  <si>
    <t xml:space="preserve">Live locations</t>
  </si>
  <si>
    <t xml:space="preserve">Live vet clinics</t>
  </si>
  <si>
    <t xml:space="preserve">Live resort locations (daycare, boarding, grooming)</t>
  </si>
  <si>
    <t xml:space="preserve">Pets observed per year</t>
  </si>
  <si>
    <t xml:space="preserve">Dog veterinary records per year</t>
  </si>
  <si>
    <t xml:space="preserve">Dog veterinary records, trailing 4 years (study window)</t>
  </si>
  <si>
    <t xml:space="preserve">Internal: daycare and boarding staffing savings</t>
  </si>
  <si>
    <t xml:space="preserve">Internal: Connected Care cross-sell to vet (contribution)</t>
  </si>
  <si>
    <t xml:space="preserve">Internal: dental capture (contribution)</t>
  </si>
  <si>
    <t xml:space="preserve">Internal: membership retention</t>
  </si>
  <si>
    <t xml:space="preserve">Internal value (EBITDA)</t>
  </si>
  <si>
    <t xml:space="preserve">External: data licenses</t>
  </si>
  <si>
    <t xml:space="preserve">External: research reports</t>
  </si>
  <si>
    <t xml:space="preserve">External: common side-effect studies</t>
  </si>
  <si>
    <t xml:space="preserve">External: rare side-effect studies</t>
  </si>
  <si>
    <t xml:space="preserve">External: premium scorecards sold to partner clinics</t>
  </si>
  <si>
    <t xml:space="preserve">External revenue</t>
  </si>
  <si>
    <t xml:space="preserve">Data team</t>
  </si>
  <si>
    <t xml:space="preserve">System integration (one-time, newly live locations)</t>
  </si>
  <si>
    <t xml:space="preserve">Cloud and tooling</t>
  </si>
  <si>
    <t xml:space="preserve">Privacy, consent and legal</t>
  </si>
  <si>
    <t xml:space="preserve">Study delivery</t>
  </si>
  <si>
    <t xml:space="preserve">Partner data fees</t>
  </si>
  <si>
    <t xml:space="preserve">Partner onboarding (one-time, new partners)</t>
  </si>
  <si>
    <t xml:space="preserve">Total platform cost</t>
  </si>
  <si>
    <t xml:space="preserve">Net EBITDA impact</t>
  </si>
  <si>
    <t xml:space="preserve">Cumulative net impact</t>
  </si>
  <si>
    <t xml:space="preserve">Helper: year number if cumulative impact positive (else 99)</t>
  </si>
  <si>
    <t xml:space="preserve">Case 2: owned network, Base scenario</t>
  </si>
  <si>
    <t xml:space="preserve">Case 2: owned network, High scenario</t>
  </si>
  <si>
    <t xml:space="preserve">Case 3: owned network + partner data, Low scenario</t>
  </si>
  <si>
    <t xml:space="preserve">Case 3: owned network + partner data, Base scenario</t>
  </si>
  <si>
    <t xml:space="preserve">Case 3: owned network + partner data, High scenario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</si>
</sst>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#,##0;\(#,##0\);\-"/>
    <numFmt numFmtId="167" formatCode="0.00\x"/>
    <numFmt numFmtId="168" formatCode="0.0%;\(0.0%\);\-"/>
    <numFmt numFmtId="169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8EDF3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E8EDF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7C3D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08080"/>
      <rgbColor rgb="FF9999FF"/>
      <rgbColor rgb="FF993366"/>
      <rgbColor rgb="FFFCE4D6"/>
      <rgbColor rgb="FFE8ED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23.85" hidden="false" customHeight="false" outlineLevel="0" collapsed="false">
      <c r="A9" s="3" t="s">
        <v>6</v>
      </c>
    </row>
    <row r="10" customFormat="false" ht="23.8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4" t="s">
        <v>9</v>
      </c>
    </row>
    <row r="14" customFormat="false" ht="23.85" hidden="false" customHeight="false" outlineLevel="0" collapsed="false">
      <c r="A14" s="3" t="s">
        <v>10</v>
      </c>
    </row>
    <row r="15" customFormat="false" ht="23.8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/>
    </row>
    <row r="17" customFormat="false" ht="15" hidden="false" customHeight="false" outlineLevel="0" collapsed="false">
      <c r="A17" s="4" t="s">
        <v>12</v>
      </c>
    </row>
    <row r="18" customFormat="false" ht="35.05" hidden="false" customHeight="false" outlineLevel="0" collapsed="false">
      <c r="A18" s="3" t="s">
        <v>13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4" t="s">
        <v>14</v>
      </c>
    </row>
    <row r="21" customFormat="false" ht="35.05" hidden="false" customHeight="false" outlineLevel="0" collapsed="false">
      <c r="A21" s="5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6" t="s">
        <v>16</v>
      </c>
    </row>
    <row r="2" customFormat="false" ht="15" hidden="false" customHeight="false" outlineLevel="0" collapsed="false">
      <c r="A2" s="7" t="s">
        <v>17</v>
      </c>
    </row>
    <row r="4" customFormat="false" ht="15" hidden="false" customHeight="false" outlineLevel="0" collapsed="false">
      <c r="A4" s="8" t="s">
        <v>18</v>
      </c>
      <c r="B4" s="9" t="s">
        <v>19</v>
      </c>
      <c r="C4" s="9" t="s">
        <v>20</v>
      </c>
      <c r="D4" s="9" t="s">
        <v>21</v>
      </c>
    </row>
    <row r="5" customFormat="false" ht="15" hidden="false" customHeight="false" outlineLevel="0" collapsed="false">
      <c r="A5" s="10" t="s">
        <v>22</v>
      </c>
      <c r="B5" s="11" t="n">
        <f aca="false">Model!F17</f>
        <v>2284900</v>
      </c>
      <c r="C5" s="11" t="n">
        <f aca="false">Model!F49</f>
        <v>4569800</v>
      </c>
      <c r="D5" s="11" t="n">
        <f aca="false">Model!F81</f>
        <v>6397720</v>
      </c>
    </row>
    <row r="6" customFormat="false" ht="15" hidden="false" customHeight="false" outlineLevel="0" collapsed="false">
      <c r="A6" s="10" t="s">
        <v>23</v>
      </c>
      <c r="B6" s="11" t="n">
        <f aca="false">Model!F23</f>
        <v>768000</v>
      </c>
      <c r="C6" s="11" t="n">
        <f aca="false">Model!F55</f>
        <v>960000</v>
      </c>
      <c r="D6" s="11" t="n">
        <f aca="false">Model!F87</f>
        <v>1104000</v>
      </c>
    </row>
    <row r="7" customFormat="false" ht="15" hidden="false" customHeight="false" outlineLevel="0" collapsed="false">
      <c r="A7" s="10" t="s">
        <v>24</v>
      </c>
      <c r="B7" s="11" t="n">
        <f aca="false">Model!F31</f>
        <v>2814000</v>
      </c>
      <c r="C7" s="11" t="n">
        <f aca="false">Model!F63</f>
        <v>2814000</v>
      </c>
      <c r="D7" s="11" t="n">
        <f aca="false">Model!F95</f>
        <v>2814000</v>
      </c>
    </row>
    <row r="8" customFormat="false" ht="15" hidden="false" customHeight="false" outlineLevel="0" collapsed="false">
      <c r="A8" s="10" t="s">
        <v>25</v>
      </c>
      <c r="B8" s="11" t="n">
        <f aca="false">Model!F32</f>
        <v>238900</v>
      </c>
      <c r="C8" s="11" t="n">
        <f aca="false">Model!F64</f>
        <v>2715800</v>
      </c>
      <c r="D8" s="11" t="n">
        <f aca="false">Model!F96</f>
        <v>4687720</v>
      </c>
    </row>
    <row r="9" customFormat="false" ht="15" hidden="false" customHeight="false" outlineLevel="0" collapsed="false">
      <c r="A9" s="10" t="s">
        <v>26</v>
      </c>
      <c r="B9" s="11" t="n">
        <f aca="false">Model!F33</f>
        <v>-3805300</v>
      </c>
      <c r="C9" s="11" t="n">
        <f aca="false">Model!F65</f>
        <v>4731000</v>
      </c>
      <c r="D9" s="11" t="n">
        <f aca="false">Model!F97</f>
        <v>11533240</v>
      </c>
    </row>
    <row r="10" customFormat="false" ht="15" hidden="false" customHeight="false" outlineLevel="0" collapsed="false">
      <c r="A10" s="12" t="s">
        <v>27</v>
      </c>
      <c r="B10" s="13" t="n">
        <f aca="false">MAX(0,Model!F32)*Assumptions!$B$79</f>
        <v>2866800</v>
      </c>
      <c r="C10" s="13" t="n">
        <f aca="false">MAX(0,Model!F64)*Assumptions!$B$79</f>
        <v>32589600</v>
      </c>
      <c r="D10" s="13" t="n">
        <f aca="false">MAX(0,Model!F96)*Assumptions!$B$79</f>
        <v>56252640</v>
      </c>
    </row>
    <row r="11" customFormat="false" ht="15" hidden="false" customHeight="false" outlineLevel="0" collapsed="false">
      <c r="A11" s="10" t="s">
        <v>28</v>
      </c>
      <c r="B11" s="14" t="str">
        <f aca="false">IF(MIN(Model!B34:F34)=99,"Not within 5 years","Year "&amp;MIN(Model!B34:F34))</f>
        <v>Not within 5 years</v>
      </c>
      <c r="C11" s="14" t="str">
        <f aca="false">IF(MIN(Model!B66:F66)=99,"Not within 5 years","Year "&amp;MIN(Model!B66:F66))</f>
        <v>Year 4</v>
      </c>
      <c r="D11" s="14" t="str">
        <f aca="false">IF(MIN(Model!B98:F98)=99,"Not within 5 years","Year "&amp;MIN(Model!B98:F98))</f>
        <v>Year 3</v>
      </c>
    </row>
    <row r="13" customFormat="false" ht="15" hidden="false" customHeight="false" outlineLevel="0" collapsed="false">
      <c r="A13" s="8" t="s">
        <v>29</v>
      </c>
      <c r="B13" s="9" t="s">
        <v>19</v>
      </c>
      <c r="C13" s="9" t="s">
        <v>20</v>
      </c>
      <c r="D13" s="9" t="s">
        <v>21</v>
      </c>
    </row>
    <row r="14" customFormat="false" ht="15" hidden="false" customHeight="false" outlineLevel="0" collapsed="false">
      <c r="A14" s="10" t="s">
        <v>22</v>
      </c>
      <c r="B14" s="11" t="n">
        <f aca="false">Model!F113</f>
        <v>2284900</v>
      </c>
      <c r="C14" s="11" t="n">
        <f aca="false">Model!F145</f>
        <v>4569800</v>
      </c>
      <c r="D14" s="11" t="n">
        <f aca="false">Model!F177</f>
        <v>6397720</v>
      </c>
    </row>
    <row r="15" customFormat="false" ht="15" hidden="false" customHeight="false" outlineLevel="0" collapsed="false">
      <c r="A15" s="10" t="s">
        <v>23</v>
      </c>
      <c r="B15" s="11" t="n">
        <f aca="false">Model!F119</f>
        <v>1953600</v>
      </c>
      <c r="C15" s="11" t="n">
        <f aca="false">Model!F151</f>
        <v>2442000</v>
      </c>
      <c r="D15" s="11" t="n">
        <f aca="false">Model!F183</f>
        <v>2808300</v>
      </c>
    </row>
    <row r="16" customFormat="false" ht="15" hidden="false" customHeight="false" outlineLevel="0" collapsed="false">
      <c r="A16" s="10" t="s">
        <v>24</v>
      </c>
      <c r="B16" s="11" t="n">
        <f aca="false">Model!F127</f>
        <v>3774000</v>
      </c>
      <c r="C16" s="11" t="n">
        <f aca="false">Model!F159</f>
        <v>3874000</v>
      </c>
      <c r="D16" s="11" t="n">
        <f aca="false">Model!F191</f>
        <v>3949000</v>
      </c>
    </row>
    <row r="17" customFormat="false" ht="15" hidden="false" customHeight="false" outlineLevel="0" collapsed="false">
      <c r="A17" s="10" t="s">
        <v>25</v>
      </c>
      <c r="B17" s="11" t="n">
        <f aca="false">Model!F128</f>
        <v>464500</v>
      </c>
      <c r="C17" s="11" t="n">
        <f aca="false">Model!F160</f>
        <v>3137800</v>
      </c>
      <c r="D17" s="11" t="n">
        <f aca="false">Model!F192</f>
        <v>5257020</v>
      </c>
    </row>
    <row r="18" customFormat="false" ht="15" hidden="false" customHeight="false" outlineLevel="0" collapsed="false">
      <c r="A18" s="10" t="s">
        <v>26</v>
      </c>
      <c r="B18" s="11" t="n">
        <f aca="false">Model!F129</f>
        <v>-4404980</v>
      </c>
      <c r="C18" s="11" t="n">
        <f aca="false">Model!F161</f>
        <v>4459400</v>
      </c>
      <c r="D18" s="11" t="n">
        <f aca="false">Model!F193</f>
        <v>11507700</v>
      </c>
    </row>
    <row r="19" customFormat="false" ht="15" hidden="false" customHeight="false" outlineLevel="0" collapsed="false">
      <c r="A19" s="12" t="s">
        <v>27</v>
      </c>
      <c r="B19" s="13" t="n">
        <f aca="false">MAX(0,Model!F128)*Assumptions!$B$79</f>
        <v>5574000</v>
      </c>
      <c r="C19" s="13" t="n">
        <f aca="false">MAX(0,Model!F160)*Assumptions!$B$79</f>
        <v>37653600</v>
      </c>
      <c r="D19" s="13" t="n">
        <f aca="false">MAX(0,Model!F192)*Assumptions!$B$79</f>
        <v>63084240</v>
      </c>
    </row>
    <row r="20" customFormat="false" ht="15" hidden="false" customHeight="false" outlineLevel="0" collapsed="false">
      <c r="A20" s="10" t="s">
        <v>28</v>
      </c>
      <c r="B20" s="14" t="str">
        <f aca="false">IF(MIN(Model!B130:F130)=99,"Not within 5 years","Year "&amp;MIN(Model!B130:F130))</f>
        <v>Not within 5 years</v>
      </c>
      <c r="C20" s="14" t="str">
        <f aca="false">IF(MIN(Model!B162:F162)=99,"Not within 5 years","Year "&amp;MIN(Model!B162:F162))</f>
        <v>Year 4</v>
      </c>
      <c r="D20" s="14" t="str">
        <f aca="false">IF(MIN(Model!B194:F194)=99,"Not within 5 years","Year "&amp;MIN(Model!B194:F194))</f>
        <v>Year 3</v>
      </c>
    </row>
    <row r="22" customFormat="false" ht="15" hidden="false" customHeight="false" outlineLevel="0" collapsed="false">
      <c r="A22" s="8" t="s">
        <v>30</v>
      </c>
      <c r="B22" s="9" t="s">
        <v>31</v>
      </c>
      <c r="C22" s="9" t="s">
        <v>32</v>
      </c>
    </row>
    <row r="23" customFormat="false" ht="15" hidden="false" customHeight="false" outlineLevel="0" collapsed="false">
      <c r="A23" s="10" t="s">
        <v>33</v>
      </c>
      <c r="B23" s="11" t="n">
        <f aca="false">Model!F45</f>
        <v>3920000</v>
      </c>
      <c r="C23" s="11" t="n">
        <f aca="false">Model!F141</f>
        <v>3920000</v>
      </c>
    </row>
    <row r="24" customFormat="false" ht="15" hidden="false" customHeight="false" outlineLevel="0" collapsed="false">
      <c r="A24" s="10" t="s">
        <v>34</v>
      </c>
      <c r="B24" s="11" t="n">
        <f aca="false">Model!F46</f>
        <v>460800</v>
      </c>
      <c r="C24" s="11" t="n">
        <f aca="false">Model!F142</f>
        <v>460800</v>
      </c>
    </row>
    <row r="25" customFormat="false" ht="15" hidden="false" customHeight="false" outlineLevel="0" collapsed="false">
      <c r="A25" s="10" t="s">
        <v>35</v>
      </c>
      <c r="B25" s="11" t="n">
        <f aca="false">Model!F47</f>
        <v>189000</v>
      </c>
      <c r="C25" s="11" t="n">
        <f aca="false">Model!F143</f>
        <v>189000</v>
      </c>
    </row>
    <row r="26" customFormat="false" ht="15" hidden="false" customHeight="false" outlineLevel="0" collapsed="false">
      <c r="A26" s="10" t="s">
        <v>36</v>
      </c>
      <c r="B26" s="11" t="n">
        <f aca="false">Model!F48</f>
        <v>0</v>
      </c>
      <c r="C26" s="11" t="n">
        <f aca="false">Model!F144</f>
        <v>0</v>
      </c>
    </row>
    <row r="27" customFormat="false" ht="15" hidden="false" customHeight="false" outlineLevel="0" collapsed="false">
      <c r="A27" s="10" t="s">
        <v>37</v>
      </c>
      <c r="B27" s="11" t="n">
        <f aca="false">Model!F50</f>
        <v>720000</v>
      </c>
      <c r="C27" s="11" t="n">
        <f aca="false">Model!F146</f>
        <v>840000</v>
      </c>
    </row>
    <row r="28" customFormat="false" ht="15" hidden="false" customHeight="false" outlineLevel="0" collapsed="false">
      <c r="A28" s="10" t="s">
        <v>38</v>
      </c>
      <c r="B28" s="11" t="n">
        <f aca="false">Model!F51</f>
        <v>240000</v>
      </c>
      <c r="C28" s="11" t="n">
        <f aca="false">Model!F147</f>
        <v>280000</v>
      </c>
    </row>
    <row r="29" customFormat="false" ht="15" hidden="false" customHeight="false" outlineLevel="0" collapsed="false">
      <c r="A29" s="10" t="s">
        <v>39</v>
      </c>
      <c r="B29" s="11" t="n">
        <f aca="false">Model!F52</f>
        <v>0</v>
      </c>
      <c r="C29" s="11" t="n">
        <f aca="false">Model!F148</f>
        <v>750000</v>
      </c>
    </row>
    <row r="30" customFormat="false" ht="15" hidden="false" customHeight="false" outlineLevel="0" collapsed="false">
      <c r="A30" s="10" t="s">
        <v>40</v>
      </c>
      <c r="B30" s="11" t="n">
        <f aca="false">Model!F53</f>
        <v>0</v>
      </c>
      <c r="C30" s="11" t="n">
        <f aca="false">Model!F149</f>
        <v>500000</v>
      </c>
    </row>
    <row r="31" customFormat="false" ht="15" hidden="false" customHeight="false" outlineLevel="0" collapsed="false">
      <c r="A31" s="10" t="s">
        <v>41</v>
      </c>
      <c r="B31" s="11" t="n">
        <f aca="false">Model!F54</f>
        <v>0</v>
      </c>
      <c r="C31" s="11" t="n">
        <f aca="false">Model!F150</f>
        <v>72000</v>
      </c>
    </row>
    <row r="32" customFormat="false" ht="15" hidden="false" customHeight="false" outlineLevel="0" collapsed="false">
      <c r="A32" s="10" t="s">
        <v>42</v>
      </c>
      <c r="B32" s="11" t="n">
        <f aca="false">-(Model!F61+Model!F62)</f>
        <v>-0</v>
      </c>
      <c r="C32" s="11" t="n">
        <f aca="false">-(Model!F157+Model!F158)</f>
        <v>-100000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6" t="s">
        <v>43</v>
      </c>
    </row>
    <row r="3" customFormat="false" ht="23.85" hidden="false" customHeight="false" outlineLevel="0" collapsed="false">
      <c r="A3" s="8" t="s">
        <v>44</v>
      </c>
      <c r="B3" s="9" t="s">
        <v>45</v>
      </c>
      <c r="C3" s="9" t="s">
        <v>46</v>
      </c>
      <c r="D3" s="9" t="s">
        <v>47</v>
      </c>
      <c r="E3" s="9" t="s">
        <v>48</v>
      </c>
      <c r="F3" s="9" t="s">
        <v>49</v>
      </c>
      <c r="G3" s="9" t="s">
        <v>50</v>
      </c>
    </row>
    <row r="4" customFormat="false" ht="15" hidden="false" customHeight="false" outlineLevel="0" collapsed="false">
      <c r="A4" s="10" t="s">
        <v>51</v>
      </c>
      <c r="B4" s="15" t="n">
        <f aca="false">Assumptions!$B$37</f>
        <v>100000</v>
      </c>
      <c r="C4" s="16" t="str">
        <f aca="false">IF(Model!B42&gt;=$B4,"Year 1",IF(Model!C42&gt;=$B4,"Year 2",IF(Model!D42&gt;=$B4,"Year 3",IF(Model!E42&gt;=$B4,"Year 4",IF(Model!F42&gt;=$B4,"Year 5","Not in 5 years")))))</f>
        <v>Year 2</v>
      </c>
      <c r="D4" s="15" t="n">
        <f aca="false">Model!F42</f>
        <v>570000</v>
      </c>
      <c r="E4" s="16" t="str">
        <f aca="false">IF(Model!B138&gt;=$B4,"Year 1",IF(Model!C138&gt;=$B4,"Year 2",IF(Model!D138&gt;=$B4,"Year 3",IF(Model!E138&gt;=$B4,"Year 4",IF(Model!F138&gt;=$B4,"Year 5","Not in 5 years")))))</f>
        <v>Year 2</v>
      </c>
      <c r="F4" s="15" t="n">
        <f aca="false">Model!F138</f>
        <v>870000</v>
      </c>
      <c r="G4" s="17" t="s">
        <v>52</v>
      </c>
    </row>
    <row r="5" customFormat="false" ht="15" hidden="false" customHeight="false" outlineLevel="0" collapsed="false">
      <c r="A5" s="10" t="s">
        <v>53</v>
      </c>
      <c r="B5" s="15" t="n">
        <f aca="false">Assumptions!$B$40</f>
        <v>792000</v>
      </c>
      <c r="C5" s="16" t="str">
        <f aca="false">IF(Model!B44&gt;=$B5,"Year 1",IF(Model!C44&gt;=$B5,"Year 2",IF(Model!D44&gt;=$B5,"Year 3",IF(Model!E44&gt;=$B5,"Year 4",IF(Model!F44&gt;=$B5,"Year 5","Not in 5 years")))))</f>
        <v>Not in 5 years</v>
      </c>
      <c r="D5" s="15" t="n">
        <f aca="false">Model!F44</f>
        <v>353500</v>
      </c>
      <c r="E5" s="16" t="str">
        <f aca="false">IF(Model!B140&gt;=$B5,"Year 1",IF(Model!C140&gt;=$B5,"Year 2",IF(Model!D140&gt;=$B5,"Year 3",IF(Model!E140&gt;=$B5,"Year 4",IF(Model!F140&gt;=$B5,"Year 5","Not in 5 years")))))</f>
        <v>Year 4</v>
      </c>
      <c r="F5" s="15" t="n">
        <f aca="false">Model!F140</f>
        <v>1473500</v>
      </c>
      <c r="G5" s="17" t="s">
        <v>54</v>
      </c>
    </row>
    <row r="6" customFormat="false" ht="15" hidden="false" customHeight="false" outlineLevel="0" collapsed="false">
      <c r="A6" s="10" t="s">
        <v>55</v>
      </c>
      <c r="B6" s="15" t="n">
        <f aca="false">Assumptions!$B$41</f>
        <v>1287000</v>
      </c>
      <c r="C6" s="16" t="str">
        <f aca="false">IF(Model!B44&gt;=$B6,"Year 1",IF(Model!C44&gt;=$B6,"Year 2",IF(Model!D44&gt;=$B6,"Year 3",IF(Model!E44&gt;=$B6,"Year 4",IF(Model!F44&gt;=$B6,"Year 5","Not in 5 years")))))</f>
        <v>Not in 5 years</v>
      </c>
      <c r="D6" s="15" t="n">
        <f aca="false">Model!F44</f>
        <v>353500</v>
      </c>
      <c r="E6" s="16" t="str">
        <f aca="false">IF(Model!B140&gt;=$B6,"Year 1",IF(Model!C140&gt;=$B6,"Year 2",IF(Model!D140&gt;=$B6,"Year 3",IF(Model!E140&gt;=$B6,"Year 4",IF(Model!F140&gt;=$B6,"Year 5","Not in 5 years")))))</f>
        <v>Year 5</v>
      </c>
      <c r="F6" s="15" t="n">
        <f aca="false">Model!F140</f>
        <v>1473500</v>
      </c>
      <c r="G6" s="17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4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8" t="s">
        <v>57</v>
      </c>
      <c r="B1" s="9" t="s">
        <v>58</v>
      </c>
      <c r="C1" s="9" t="s">
        <v>59</v>
      </c>
    </row>
    <row r="2" customFormat="false" ht="15" hidden="false" customHeight="false" outlineLevel="0" collapsed="false">
      <c r="A2" s="18" t="s">
        <v>60</v>
      </c>
      <c r="B2" s="3" t="s">
        <v>61</v>
      </c>
      <c r="C2" s="2" t="s">
        <v>62</v>
      </c>
    </row>
    <row r="3" customFormat="false" ht="15" hidden="false" customHeight="false" outlineLevel="0" collapsed="false">
      <c r="A3" s="18" t="s">
        <v>63</v>
      </c>
      <c r="B3" s="3" t="s">
        <v>64</v>
      </c>
      <c r="C3" s="2" t="s">
        <v>62</v>
      </c>
    </row>
    <row r="4" customFormat="false" ht="23.85" hidden="false" customHeight="false" outlineLevel="0" collapsed="false">
      <c r="A4" s="18" t="s">
        <v>65</v>
      </c>
      <c r="B4" s="3" t="s">
        <v>66</v>
      </c>
      <c r="C4" s="2" t="s">
        <v>67</v>
      </c>
    </row>
    <row r="5" customFormat="false" ht="35.05" hidden="false" customHeight="false" outlineLevel="0" collapsed="false">
      <c r="A5" s="18" t="s">
        <v>68</v>
      </c>
      <c r="B5" s="3" t="s">
        <v>69</v>
      </c>
      <c r="C5" s="2" t="s">
        <v>70</v>
      </c>
    </row>
    <row r="6" customFormat="false" ht="23.85" hidden="false" customHeight="false" outlineLevel="0" collapsed="false">
      <c r="A6" s="18" t="s">
        <v>71</v>
      </c>
      <c r="B6" s="3" t="s">
        <v>72</v>
      </c>
      <c r="C6" s="2" t="s">
        <v>73</v>
      </c>
    </row>
    <row r="7" customFormat="false" ht="15" hidden="false" customHeight="false" outlineLevel="0" collapsed="false">
      <c r="A7" s="18" t="s">
        <v>74</v>
      </c>
      <c r="B7" s="3" t="s">
        <v>75</v>
      </c>
      <c r="C7" s="2" t="s">
        <v>76</v>
      </c>
    </row>
    <row r="8" customFormat="false" ht="15" hidden="false" customHeight="false" outlineLevel="0" collapsed="false">
      <c r="A8" s="18" t="s">
        <v>77</v>
      </c>
      <c r="B8" s="3" t="s">
        <v>78</v>
      </c>
      <c r="C8" s="2" t="s">
        <v>79</v>
      </c>
    </row>
    <row r="9" customFormat="false" ht="15" hidden="false" customHeight="false" outlineLevel="0" collapsed="false">
      <c r="A9" s="18" t="s">
        <v>80</v>
      </c>
      <c r="B9" s="3" t="s">
        <v>81</v>
      </c>
      <c r="C9" s="2" t="s">
        <v>82</v>
      </c>
    </row>
    <row r="10" customFormat="false" ht="23.85" hidden="false" customHeight="false" outlineLevel="0" collapsed="false">
      <c r="A10" s="18" t="s">
        <v>83</v>
      </c>
      <c r="B10" s="3" t="s">
        <v>84</v>
      </c>
      <c r="C10" s="2" t="s">
        <v>85</v>
      </c>
    </row>
    <row r="11" customFormat="false" ht="23.85" hidden="false" customHeight="false" outlineLevel="0" collapsed="false">
      <c r="A11" s="18" t="s">
        <v>86</v>
      </c>
      <c r="B11" s="3" t="s">
        <v>87</v>
      </c>
      <c r="C11" s="2" t="s">
        <v>88</v>
      </c>
    </row>
    <row r="12" customFormat="false" ht="23.85" hidden="false" customHeight="false" outlineLevel="0" collapsed="false">
      <c r="A12" s="18" t="s">
        <v>89</v>
      </c>
      <c r="B12" s="3" t="s">
        <v>90</v>
      </c>
      <c r="C12" s="2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3"/>
    <col collapsed="false" customWidth="true" hidden="false" outlineLevel="0" max="7" min="7" style="0" width="78"/>
  </cols>
  <sheetData>
    <row r="1" customFormat="false" ht="17.35" hidden="false" customHeight="false" outlineLevel="0" collapsed="false">
      <c r="A1" s="6" t="s">
        <v>92</v>
      </c>
    </row>
    <row r="2" customFormat="false" ht="15" hidden="false" customHeight="false" outlineLevel="0" collapsed="false">
      <c r="A2" s="17" t="s">
        <v>93</v>
      </c>
    </row>
    <row r="4" customFormat="false" ht="15" hidden="false" customHeight="false" outlineLevel="0" collapsed="false">
      <c r="A4" s="19" t="s">
        <v>94</v>
      </c>
      <c r="B4" s="20"/>
      <c r="C4" s="20"/>
      <c r="D4" s="20"/>
      <c r="E4" s="20"/>
      <c r="F4" s="20"/>
      <c r="G4" s="20"/>
    </row>
    <row r="5" customFormat="false" ht="23.85" hidden="false" customHeight="false" outlineLevel="0" collapsed="false">
      <c r="A5" s="8" t="s">
        <v>95</v>
      </c>
      <c r="B5" s="9" t="s">
        <v>96</v>
      </c>
      <c r="C5" s="9" t="s">
        <v>97</v>
      </c>
      <c r="D5" s="9"/>
      <c r="E5" s="9"/>
      <c r="F5" s="9"/>
      <c r="G5" s="9" t="s">
        <v>98</v>
      </c>
    </row>
    <row r="6" customFormat="false" ht="15" hidden="false" customHeight="false" outlineLevel="0" collapsed="false">
      <c r="A6" s="12" t="s">
        <v>19</v>
      </c>
      <c r="B6" s="21" t="n">
        <v>0.5</v>
      </c>
      <c r="C6" s="21" t="n">
        <v>0.8</v>
      </c>
      <c r="G6" s="17" t="s">
        <v>99</v>
      </c>
    </row>
    <row r="7" customFormat="false" ht="15" hidden="false" customHeight="false" outlineLevel="0" collapsed="false">
      <c r="A7" s="12" t="s">
        <v>20</v>
      </c>
      <c r="B7" s="21" t="n">
        <v>1</v>
      </c>
      <c r="C7" s="21" t="n">
        <v>1</v>
      </c>
    </row>
    <row r="8" customFormat="false" ht="15" hidden="false" customHeight="false" outlineLevel="0" collapsed="false">
      <c r="A8" s="12" t="s">
        <v>21</v>
      </c>
      <c r="B8" s="21" t="n">
        <v>1.4</v>
      </c>
      <c r="C8" s="21" t="n">
        <v>1.15</v>
      </c>
    </row>
    <row r="10" customFormat="false" ht="15" hidden="false" customHeight="false" outlineLevel="0" collapsed="false">
      <c r="A10" s="19" t="s">
        <v>100</v>
      </c>
      <c r="B10" s="20"/>
      <c r="C10" s="20"/>
      <c r="D10" s="20"/>
      <c r="E10" s="20"/>
      <c r="F10" s="20"/>
      <c r="G10" s="20"/>
    </row>
    <row r="11" customFormat="false" ht="15" hidden="false" customHeight="false" outlineLevel="0" collapsed="false">
      <c r="A11" s="10" t="s">
        <v>101</v>
      </c>
      <c r="B11" s="22" t="n">
        <v>190</v>
      </c>
      <c r="G11" s="23" t="s">
        <v>102</v>
      </c>
    </row>
    <row r="12" customFormat="false" ht="15" hidden="false" customHeight="false" outlineLevel="0" collapsed="false">
      <c r="A12" s="10" t="s">
        <v>103</v>
      </c>
      <c r="B12" s="22" t="n">
        <v>30</v>
      </c>
      <c r="G12" s="23" t="s">
        <v>104</v>
      </c>
    </row>
    <row r="13" customFormat="false" ht="15" hidden="false" customHeight="false" outlineLevel="0" collapsed="false">
      <c r="A13" s="10" t="s">
        <v>105</v>
      </c>
      <c r="B13" s="22" t="n">
        <v>3000</v>
      </c>
      <c r="G13" s="23" t="s">
        <v>106</v>
      </c>
    </row>
    <row r="14" customFormat="false" ht="15" hidden="false" customHeight="false" outlineLevel="0" collapsed="false">
      <c r="A14" s="10" t="s">
        <v>107</v>
      </c>
      <c r="B14" s="22" t="n">
        <v>3500</v>
      </c>
      <c r="G14" s="23" t="s">
        <v>106</v>
      </c>
    </row>
    <row r="15" customFormat="false" ht="15" hidden="false" customHeight="false" outlineLevel="0" collapsed="false">
      <c r="A15" s="10" t="s">
        <v>108</v>
      </c>
      <c r="B15" s="24" t="n">
        <v>700000</v>
      </c>
      <c r="G15" s="23" t="s">
        <v>106</v>
      </c>
    </row>
    <row r="16" customFormat="false" ht="15" hidden="false" customHeight="false" outlineLevel="0" collapsed="false">
      <c r="A16" s="10" t="s">
        <v>109</v>
      </c>
      <c r="B16" s="25" t="n">
        <v>0.8</v>
      </c>
      <c r="G16" s="23" t="s">
        <v>106</v>
      </c>
    </row>
    <row r="18" customFormat="false" ht="15" hidden="false" customHeight="false" outlineLevel="0" collapsed="false">
      <c r="A18" s="19" t="s">
        <v>110</v>
      </c>
      <c r="B18" s="20"/>
      <c r="C18" s="20"/>
      <c r="D18" s="20"/>
      <c r="E18" s="20"/>
      <c r="F18" s="20"/>
      <c r="G18" s="20"/>
    </row>
    <row r="19" customFormat="false" ht="15" hidden="false" customHeight="false" outlineLevel="0" collapsed="false">
      <c r="A19" s="8" t="s">
        <v>111</v>
      </c>
      <c r="B19" s="9" t="s">
        <v>112</v>
      </c>
      <c r="C19" s="9" t="s">
        <v>113</v>
      </c>
      <c r="D19" s="9" t="s">
        <v>114</v>
      </c>
      <c r="E19" s="9" t="s">
        <v>115</v>
      </c>
      <c r="F19" s="9" t="s">
        <v>116</v>
      </c>
      <c r="G19" s="9" t="s">
        <v>98</v>
      </c>
    </row>
    <row r="20" customFormat="false" ht="15" hidden="false" customHeight="false" outlineLevel="0" collapsed="false">
      <c r="A20" s="10" t="s">
        <v>117</v>
      </c>
      <c r="B20" s="26" t="n">
        <v>0.15</v>
      </c>
      <c r="C20" s="26" t="n">
        <v>0.5</v>
      </c>
      <c r="D20" s="26" t="n">
        <v>0.85</v>
      </c>
      <c r="E20" s="26" t="n">
        <v>1</v>
      </c>
      <c r="F20" s="26" t="n">
        <v>1</v>
      </c>
      <c r="G20" s="23" t="s">
        <v>118</v>
      </c>
    </row>
    <row r="22" customFormat="false" ht="15" hidden="false" customHeight="false" outlineLevel="0" collapsed="false">
      <c r="A22" s="19" t="s">
        <v>119</v>
      </c>
      <c r="B22" s="20"/>
      <c r="C22" s="20"/>
      <c r="D22" s="20"/>
      <c r="E22" s="20"/>
      <c r="F22" s="20"/>
      <c r="G22" s="20"/>
    </row>
    <row r="23" customFormat="false" ht="15" hidden="false" customHeight="false" outlineLevel="0" collapsed="false">
      <c r="A23" s="8" t="s">
        <v>120</v>
      </c>
      <c r="B23" s="9" t="s">
        <v>58</v>
      </c>
      <c r="C23" s="9"/>
      <c r="D23" s="9"/>
      <c r="E23" s="9"/>
      <c r="F23" s="9"/>
      <c r="G23" s="9" t="s">
        <v>121</v>
      </c>
    </row>
    <row r="24" customFormat="false" ht="23.85" hidden="false" customHeight="false" outlineLevel="0" collapsed="false">
      <c r="A24" s="10" t="s">
        <v>122</v>
      </c>
      <c r="B24" s="27" t="n">
        <v>0.07</v>
      </c>
      <c r="G24" s="23" t="s">
        <v>123</v>
      </c>
    </row>
    <row r="25" customFormat="false" ht="15" hidden="false" customHeight="false" outlineLevel="0" collapsed="false">
      <c r="A25" s="10" t="s">
        <v>124</v>
      </c>
      <c r="B25" s="26" t="n">
        <v>0.5</v>
      </c>
      <c r="G25" s="23" t="s">
        <v>125</v>
      </c>
    </row>
    <row r="26" customFormat="false" ht="15" hidden="false" customHeight="false" outlineLevel="0" collapsed="false">
      <c r="A26" s="10" t="s">
        <v>126</v>
      </c>
      <c r="B26" s="26" t="n">
        <v>0.01</v>
      </c>
      <c r="G26" s="23" t="s">
        <v>127</v>
      </c>
    </row>
    <row r="27" customFormat="false" ht="15" hidden="false" customHeight="false" outlineLevel="0" collapsed="false">
      <c r="A27" s="10" t="s">
        <v>128</v>
      </c>
      <c r="B27" s="24" t="n">
        <v>600</v>
      </c>
      <c r="G27" s="23" t="s">
        <v>129</v>
      </c>
    </row>
    <row r="28" customFormat="false" ht="15" hidden="false" customHeight="false" outlineLevel="0" collapsed="false">
      <c r="A28" s="10" t="s">
        <v>130</v>
      </c>
      <c r="B28" s="25" t="n">
        <v>0.4</v>
      </c>
      <c r="G28" s="23" t="s">
        <v>129</v>
      </c>
    </row>
    <row r="29" customFormat="false" ht="15" hidden="false" customHeight="false" outlineLevel="0" collapsed="false">
      <c r="A29" s="10" t="s">
        <v>131</v>
      </c>
      <c r="B29" s="28" t="n">
        <v>40</v>
      </c>
      <c r="G29" s="23" t="s">
        <v>132</v>
      </c>
    </row>
    <row r="30" customFormat="false" ht="15" hidden="false" customHeight="false" outlineLevel="0" collapsed="false">
      <c r="A30" s="10" t="s">
        <v>133</v>
      </c>
      <c r="B30" s="24" t="n">
        <v>700</v>
      </c>
      <c r="G30" s="23" t="s">
        <v>129</v>
      </c>
    </row>
    <row r="31" customFormat="false" ht="15" hidden="false" customHeight="false" outlineLevel="0" collapsed="false">
      <c r="A31" s="10" t="s">
        <v>134</v>
      </c>
      <c r="B31" s="25" t="n">
        <v>0.45</v>
      </c>
      <c r="G31" s="23" t="s">
        <v>129</v>
      </c>
    </row>
    <row r="32" customFormat="false" ht="15" hidden="false" customHeight="false" outlineLevel="0" collapsed="false">
      <c r="A32" s="10" t="s">
        <v>135</v>
      </c>
      <c r="B32" s="29" t="n">
        <v>0</v>
      </c>
      <c r="G32" s="23" t="s">
        <v>136</v>
      </c>
    </row>
    <row r="34" customFormat="false" ht="15" hidden="false" customHeight="false" outlineLevel="0" collapsed="false">
      <c r="A34" s="19" t="s">
        <v>137</v>
      </c>
      <c r="B34" s="20"/>
      <c r="C34" s="20"/>
      <c r="D34" s="20"/>
      <c r="E34" s="20"/>
      <c r="F34" s="20"/>
      <c r="G34" s="20"/>
    </row>
    <row r="35" customFormat="false" ht="15" hidden="false" customHeight="false" outlineLevel="0" collapsed="false">
      <c r="A35" s="8" t="s">
        <v>111</v>
      </c>
      <c r="B35" s="9" t="s">
        <v>58</v>
      </c>
      <c r="C35" s="9"/>
      <c r="D35" s="9"/>
      <c r="E35" s="9"/>
      <c r="F35" s="9"/>
      <c r="G35" s="9" t="s">
        <v>138</v>
      </c>
    </row>
    <row r="36" customFormat="false" ht="15" hidden="false" customHeight="false" outlineLevel="0" collapsed="false">
      <c r="A36" s="10" t="s">
        <v>139</v>
      </c>
      <c r="B36" s="29" t="n">
        <v>120000</v>
      </c>
      <c r="G36" s="23" t="s">
        <v>140</v>
      </c>
    </row>
    <row r="37" customFormat="false" ht="15" hidden="false" customHeight="false" outlineLevel="0" collapsed="false">
      <c r="A37" s="10" t="s">
        <v>141</v>
      </c>
      <c r="B37" s="28" t="n">
        <v>100000</v>
      </c>
      <c r="G37" s="23" t="s">
        <v>142</v>
      </c>
    </row>
    <row r="38" customFormat="false" ht="15" hidden="false" customHeight="false" outlineLevel="0" collapsed="false">
      <c r="A38" s="10" t="s">
        <v>143</v>
      </c>
      <c r="B38" s="29" t="n">
        <v>40000</v>
      </c>
      <c r="G38" s="23" t="s">
        <v>144</v>
      </c>
    </row>
    <row r="39" customFormat="false" ht="15" hidden="false" customHeight="false" outlineLevel="0" collapsed="false">
      <c r="A39" s="10" t="s">
        <v>145</v>
      </c>
      <c r="B39" s="29" t="n">
        <v>250000</v>
      </c>
      <c r="G39" s="23" t="s">
        <v>146</v>
      </c>
    </row>
    <row r="40" customFormat="false" ht="15" hidden="false" customHeight="false" outlineLevel="0" collapsed="false">
      <c r="A40" s="10" t="s">
        <v>147</v>
      </c>
      <c r="B40" s="28" t="n">
        <v>792000</v>
      </c>
      <c r="G40" s="23" t="s">
        <v>148</v>
      </c>
    </row>
    <row r="41" customFormat="false" ht="15" hidden="false" customHeight="false" outlineLevel="0" collapsed="false">
      <c r="A41" s="10" t="s">
        <v>149</v>
      </c>
      <c r="B41" s="28" t="n">
        <v>1287000</v>
      </c>
      <c r="G41" s="23" t="s">
        <v>150</v>
      </c>
    </row>
    <row r="42" customFormat="false" ht="15" hidden="false" customHeight="false" outlineLevel="0" collapsed="false">
      <c r="A42" s="10" t="s">
        <v>151</v>
      </c>
      <c r="B42" s="27" t="n">
        <v>0.4</v>
      </c>
      <c r="G42" s="23" t="s">
        <v>152</v>
      </c>
    </row>
    <row r="44" customFormat="false" ht="15" hidden="false" customHeight="false" outlineLevel="0" collapsed="false">
      <c r="A44" s="8" t="s">
        <v>153</v>
      </c>
      <c r="B44" s="9" t="s">
        <v>112</v>
      </c>
      <c r="C44" s="9" t="s">
        <v>113</v>
      </c>
      <c r="D44" s="9" t="s">
        <v>114</v>
      </c>
      <c r="E44" s="9" t="s">
        <v>115</v>
      </c>
      <c r="F44" s="9" t="s">
        <v>116</v>
      </c>
      <c r="G44" s="9" t="s">
        <v>98</v>
      </c>
    </row>
    <row r="45" customFormat="false" ht="15" hidden="false" customHeight="false" outlineLevel="0" collapsed="false">
      <c r="A45" s="10" t="s">
        <v>154</v>
      </c>
      <c r="B45" s="28" t="n">
        <v>0</v>
      </c>
      <c r="C45" s="28" t="n">
        <v>2</v>
      </c>
      <c r="D45" s="28" t="n">
        <v>3</v>
      </c>
      <c r="E45" s="28" t="n">
        <v>5</v>
      </c>
      <c r="F45" s="28" t="n">
        <v>6</v>
      </c>
      <c r="G45" s="23" t="s">
        <v>155</v>
      </c>
    </row>
    <row r="46" customFormat="false" ht="15" hidden="false" customHeight="false" outlineLevel="0" collapsed="false">
      <c r="A46" s="10" t="s">
        <v>156</v>
      </c>
      <c r="B46" s="28" t="n">
        <v>1</v>
      </c>
      <c r="C46" s="28" t="n">
        <v>3</v>
      </c>
      <c r="D46" s="28" t="n">
        <v>4</v>
      </c>
      <c r="E46" s="28" t="n">
        <v>5</v>
      </c>
      <c r="F46" s="28" t="n">
        <v>6</v>
      </c>
    </row>
    <row r="47" customFormat="false" ht="15" hidden="false" customHeight="false" outlineLevel="0" collapsed="false">
      <c r="A47" s="10" t="s">
        <v>157</v>
      </c>
      <c r="B47" s="28" t="n">
        <v>0</v>
      </c>
      <c r="C47" s="28" t="n">
        <v>0</v>
      </c>
      <c r="D47" s="28" t="n">
        <v>1</v>
      </c>
      <c r="E47" s="28" t="n">
        <v>2</v>
      </c>
      <c r="F47" s="28" t="n">
        <v>2</v>
      </c>
    </row>
    <row r="48" customFormat="false" ht="15" hidden="false" customHeight="false" outlineLevel="0" collapsed="false">
      <c r="A48" s="10" t="s">
        <v>158</v>
      </c>
      <c r="B48" s="28" t="n">
        <v>0</v>
      </c>
      <c r="C48" s="28" t="n">
        <v>0</v>
      </c>
      <c r="D48" s="28" t="n">
        <v>0</v>
      </c>
      <c r="E48" s="28" t="n">
        <v>1</v>
      </c>
      <c r="F48" s="28" t="n">
        <v>1</v>
      </c>
    </row>
    <row r="50" customFormat="false" ht="15" hidden="false" customHeight="false" outlineLevel="0" collapsed="false">
      <c r="A50" s="19" t="s">
        <v>159</v>
      </c>
      <c r="B50" s="20"/>
      <c r="C50" s="20"/>
      <c r="D50" s="20"/>
      <c r="E50" s="20"/>
      <c r="F50" s="20"/>
      <c r="G50" s="20"/>
    </row>
    <row r="51" customFormat="false" ht="15" hidden="false" customHeight="false" outlineLevel="0" collapsed="false">
      <c r="A51" s="8" t="s">
        <v>111</v>
      </c>
      <c r="B51" s="9" t="s">
        <v>58</v>
      </c>
      <c r="C51" s="9"/>
      <c r="D51" s="9"/>
      <c r="E51" s="9"/>
      <c r="F51" s="9"/>
      <c r="G51" s="9" t="s">
        <v>138</v>
      </c>
    </row>
    <row r="52" customFormat="false" ht="15" hidden="false" customHeight="false" outlineLevel="0" collapsed="false">
      <c r="A52" s="10" t="s">
        <v>160</v>
      </c>
      <c r="B52" s="30" t="n">
        <v>1000</v>
      </c>
      <c r="G52" s="23" t="s">
        <v>161</v>
      </c>
    </row>
    <row r="53" customFormat="false" ht="15" hidden="false" customHeight="false" outlineLevel="0" collapsed="false">
      <c r="A53" s="10" t="s">
        <v>162</v>
      </c>
      <c r="B53" s="29" t="n">
        <v>2000</v>
      </c>
      <c r="G53" s="23" t="s">
        <v>163</v>
      </c>
    </row>
    <row r="54" customFormat="false" ht="15" hidden="false" customHeight="false" outlineLevel="0" collapsed="false">
      <c r="A54" s="10" t="s">
        <v>164</v>
      </c>
      <c r="B54" s="28" t="n">
        <v>3500</v>
      </c>
      <c r="G54" s="23" t="s">
        <v>165</v>
      </c>
    </row>
    <row r="55" customFormat="false" ht="15" hidden="false" customHeight="false" outlineLevel="0" collapsed="false">
      <c r="A55" s="10" t="s">
        <v>166</v>
      </c>
      <c r="B55" s="28" t="n">
        <v>3000</v>
      </c>
      <c r="G55" s="23" t="s">
        <v>129</v>
      </c>
    </row>
    <row r="56" customFormat="false" ht="15" hidden="false" customHeight="false" outlineLevel="0" collapsed="false">
      <c r="A56" s="10" t="s">
        <v>167</v>
      </c>
      <c r="B56" s="27" t="n">
        <v>0.4</v>
      </c>
      <c r="G56" s="23" t="s">
        <v>168</v>
      </c>
    </row>
    <row r="57" customFormat="false" ht="15" hidden="false" customHeight="false" outlineLevel="0" collapsed="false">
      <c r="A57" s="10" t="s">
        <v>169</v>
      </c>
      <c r="B57" s="29" t="n">
        <v>1800</v>
      </c>
      <c r="G57" s="23" t="s">
        <v>170</v>
      </c>
    </row>
    <row r="59" customFormat="false" ht="15" hidden="false" customHeight="false" outlineLevel="0" collapsed="false">
      <c r="A59" s="8" t="s">
        <v>171</v>
      </c>
      <c r="B59" s="9" t="s">
        <v>112</v>
      </c>
      <c r="C59" s="9" t="s">
        <v>113</v>
      </c>
      <c r="D59" s="9" t="s">
        <v>114</v>
      </c>
      <c r="E59" s="9" t="s">
        <v>115</v>
      </c>
      <c r="F59" s="9" t="s">
        <v>116</v>
      </c>
      <c r="G59" s="9" t="s">
        <v>98</v>
      </c>
    </row>
    <row r="60" customFormat="false" ht="15" hidden="false" customHeight="false" outlineLevel="0" collapsed="false">
      <c r="A60" s="10" t="s">
        <v>172</v>
      </c>
      <c r="B60" s="31" t="n">
        <v>0</v>
      </c>
      <c r="C60" s="31" t="n">
        <v>40</v>
      </c>
      <c r="D60" s="31" t="n">
        <v>80</v>
      </c>
      <c r="E60" s="31" t="n">
        <v>100</v>
      </c>
      <c r="F60" s="31" t="n">
        <v>100</v>
      </c>
      <c r="G60" s="23" t="s">
        <v>173</v>
      </c>
    </row>
    <row r="61" customFormat="false" ht="15" hidden="false" customHeight="false" outlineLevel="0" collapsed="false">
      <c r="A61" s="10" t="s">
        <v>174</v>
      </c>
      <c r="B61" s="28" t="n">
        <v>0</v>
      </c>
      <c r="C61" s="28" t="n">
        <v>1</v>
      </c>
      <c r="D61" s="28" t="n">
        <v>1</v>
      </c>
      <c r="E61" s="28" t="n">
        <v>2</v>
      </c>
      <c r="F61" s="28" t="n">
        <v>2</v>
      </c>
      <c r="G61" s="23" t="s">
        <v>175</v>
      </c>
    </row>
    <row r="62" customFormat="false" ht="15" hidden="false" customHeight="false" outlineLevel="0" collapsed="false">
      <c r="A62" s="10" t="s">
        <v>176</v>
      </c>
      <c r="B62" s="28" t="n">
        <v>0</v>
      </c>
      <c r="C62" s="28" t="n">
        <v>2</v>
      </c>
      <c r="D62" s="28" t="n">
        <v>4</v>
      </c>
      <c r="E62" s="28" t="n">
        <v>5</v>
      </c>
      <c r="F62" s="28" t="n">
        <v>7</v>
      </c>
      <c r="G62" s="23" t="s">
        <v>177</v>
      </c>
    </row>
    <row r="63" customFormat="false" ht="15" hidden="false" customHeight="false" outlineLevel="0" collapsed="false">
      <c r="A63" s="10" t="s">
        <v>178</v>
      </c>
      <c r="B63" s="28" t="n">
        <v>1</v>
      </c>
      <c r="C63" s="28" t="n">
        <v>3</v>
      </c>
      <c r="D63" s="28" t="n">
        <v>5</v>
      </c>
      <c r="E63" s="28" t="n">
        <v>6</v>
      </c>
      <c r="F63" s="28" t="n">
        <v>7</v>
      </c>
    </row>
    <row r="64" customFormat="false" ht="15" hidden="false" customHeight="false" outlineLevel="0" collapsed="false">
      <c r="A64" s="10" t="s">
        <v>179</v>
      </c>
      <c r="B64" s="28" t="n">
        <v>0</v>
      </c>
      <c r="C64" s="28" t="n">
        <v>0</v>
      </c>
      <c r="D64" s="28" t="n">
        <v>1</v>
      </c>
      <c r="E64" s="28" t="n">
        <v>2</v>
      </c>
      <c r="F64" s="28" t="n">
        <v>3</v>
      </c>
    </row>
    <row r="65" customFormat="false" ht="15" hidden="false" customHeight="false" outlineLevel="0" collapsed="false">
      <c r="A65" s="10" t="s">
        <v>180</v>
      </c>
      <c r="B65" s="28" t="n">
        <v>0</v>
      </c>
      <c r="C65" s="28" t="n">
        <v>0</v>
      </c>
      <c r="D65" s="28" t="n">
        <v>0</v>
      </c>
      <c r="E65" s="28" t="n">
        <v>1</v>
      </c>
      <c r="F65" s="28" t="n">
        <v>2</v>
      </c>
    </row>
    <row r="67" customFormat="false" ht="15" hidden="false" customHeight="false" outlineLevel="0" collapsed="false">
      <c r="A67" s="19" t="s">
        <v>181</v>
      </c>
      <c r="B67" s="20"/>
      <c r="C67" s="20"/>
      <c r="D67" s="20"/>
      <c r="E67" s="20"/>
      <c r="F67" s="20"/>
      <c r="G67" s="20"/>
    </row>
    <row r="68" customFormat="false" ht="15" hidden="false" customHeight="false" outlineLevel="0" collapsed="false">
      <c r="A68" s="8" t="s">
        <v>111</v>
      </c>
      <c r="B68" s="9" t="s">
        <v>58</v>
      </c>
      <c r="C68" s="9"/>
      <c r="D68" s="9"/>
      <c r="E68" s="9"/>
      <c r="F68" s="9"/>
      <c r="G68" s="9" t="s">
        <v>138</v>
      </c>
    </row>
    <row r="69" customFormat="false" ht="15" hidden="false" customHeight="false" outlineLevel="0" collapsed="false">
      <c r="A69" s="10" t="s">
        <v>182</v>
      </c>
      <c r="B69" s="29" t="n">
        <v>200000</v>
      </c>
      <c r="G69" s="23" t="s">
        <v>129</v>
      </c>
    </row>
    <row r="70" customFormat="false" ht="15" hidden="false" customHeight="false" outlineLevel="0" collapsed="false">
      <c r="A70" s="10" t="s">
        <v>183</v>
      </c>
      <c r="B70" s="30" t="n">
        <v>15000</v>
      </c>
      <c r="G70" s="23" t="s">
        <v>184</v>
      </c>
    </row>
    <row r="71" customFormat="false" ht="15" hidden="false" customHeight="false" outlineLevel="0" collapsed="false">
      <c r="A71" s="10" t="s">
        <v>185</v>
      </c>
      <c r="B71" s="29" t="n">
        <v>150000</v>
      </c>
      <c r="G71" s="23" t="s">
        <v>129</v>
      </c>
    </row>
    <row r="72" customFormat="false" ht="15" hidden="false" customHeight="false" outlineLevel="0" collapsed="false">
      <c r="A72" s="10" t="s">
        <v>186</v>
      </c>
      <c r="B72" s="29" t="n">
        <v>600</v>
      </c>
      <c r="G72" s="23" t="s">
        <v>129</v>
      </c>
    </row>
    <row r="73" customFormat="false" ht="15" hidden="false" customHeight="false" outlineLevel="0" collapsed="false">
      <c r="A73" s="10" t="s">
        <v>187</v>
      </c>
      <c r="B73" s="29" t="n">
        <v>150000</v>
      </c>
      <c r="G73" s="23" t="s">
        <v>188</v>
      </c>
    </row>
    <row r="75" customFormat="false" ht="15" hidden="false" customHeight="false" outlineLevel="0" collapsed="false">
      <c r="A75" s="8" t="s">
        <v>189</v>
      </c>
      <c r="B75" s="9" t="s">
        <v>112</v>
      </c>
      <c r="C75" s="9" t="s">
        <v>113</v>
      </c>
      <c r="D75" s="9" t="s">
        <v>114</v>
      </c>
      <c r="E75" s="9" t="s">
        <v>115</v>
      </c>
      <c r="F75" s="9" t="s">
        <v>116</v>
      </c>
      <c r="G75" s="9" t="s">
        <v>98</v>
      </c>
    </row>
    <row r="76" customFormat="false" ht="15" hidden="false" customHeight="false" outlineLevel="0" collapsed="false">
      <c r="A76" s="10" t="s">
        <v>190</v>
      </c>
      <c r="B76" s="31" t="n">
        <v>5</v>
      </c>
      <c r="C76" s="31" t="n">
        <v>8</v>
      </c>
      <c r="D76" s="31" t="n">
        <v>10</v>
      </c>
      <c r="E76" s="31" t="n">
        <v>11</v>
      </c>
      <c r="F76" s="31" t="n">
        <v>12</v>
      </c>
      <c r="G76" s="23" t="s">
        <v>191</v>
      </c>
    </row>
    <row r="78" customFormat="false" ht="15" hidden="false" customHeight="false" outlineLevel="0" collapsed="false">
      <c r="A78" s="19" t="s">
        <v>192</v>
      </c>
      <c r="B78" s="20"/>
      <c r="C78" s="20"/>
      <c r="D78" s="20"/>
      <c r="E78" s="20"/>
      <c r="F78" s="20"/>
      <c r="G78" s="20"/>
    </row>
    <row r="79" customFormat="false" ht="15" hidden="false" customHeight="false" outlineLevel="0" collapsed="false">
      <c r="A79" s="10" t="s">
        <v>193</v>
      </c>
      <c r="B79" s="32" t="n">
        <v>12</v>
      </c>
      <c r="G79" s="23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5"/>
  </cols>
  <sheetData>
    <row r="1" customFormat="false" ht="17.35" hidden="false" customHeight="false" outlineLevel="0" collapsed="false">
      <c r="A1" s="6" t="s">
        <v>195</v>
      </c>
    </row>
    <row r="2" customFormat="false" ht="15" hidden="false" customHeight="false" outlineLevel="0" collapsed="false">
      <c r="A2" s="17" t="s">
        <v>196</v>
      </c>
    </row>
    <row r="4" customFormat="false" ht="15" hidden="false" customHeight="false" outlineLevel="0" collapsed="false">
      <c r="A4" s="19" t="s">
        <v>197</v>
      </c>
      <c r="B4" s="20"/>
      <c r="C4" s="20"/>
      <c r="D4" s="20"/>
      <c r="E4" s="20"/>
      <c r="F4" s="20"/>
    </row>
    <row r="5" customFormat="false" ht="15" hidden="false" customHeight="false" outlineLevel="0" collapsed="false">
      <c r="A5" s="8" t="s">
        <v>198</v>
      </c>
      <c r="B5" s="9" t="s">
        <v>112</v>
      </c>
      <c r="C5" s="9" t="s">
        <v>113</v>
      </c>
      <c r="D5" s="9" t="s">
        <v>114</v>
      </c>
      <c r="E5" s="9" t="s">
        <v>115</v>
      </c>
      <c r="F5" s="9" t="s">
        <v>116</v>
      </c>
    </row>
    <row r="6" customFormat="false" ht="15" hidden="false" customHeight="false" outlineLevel="0" collapsed="false">
      <c r="A6" s="10" t="s">
        <v>199</v>
      </c>
      <c r="B6" s="33" t="n">
        <f aca="false">ROUND(Assumptions!$B$11*Assumptions!B$20,0)</f>
        <v>29</v>
      </c>
      <c r="C6" s="33" t="n">
        <f aca="false">ROUND(Assumptions!$B$11*Assumptions!C$20,0)</f>
        <v>95</v>
      </c>
      <c r="D6" s="33" t="n">
        <f aca="false">ROUND(Assumptions!$B$11*Assumptions!D$20,0)</f>
        <v>162</v>
      </c>
      <c r="E6" s="33" t="n">
        <f aca="false">ROUND(Assumptions!$B$11*Assumptions!E$20,0)</f>
        <v>190</v>
      </c>
      <c r="F6" s="33" t="n">
        <f aca="false">ROUND(Assumptions!$B$11*Assumptions!F$20,0)</f>
        <v>190</v>
      </c>
    </row>
    <row r="7" customFormat="false" ht="15" hidden="false" customHeight="false" outlineLevel="0" collapsed="false">
      <c r="A7" s="10" t="s">
        <v>200</v>
      </c>
      <c r="B7" s="33" t="n">
        <f aca="false">ROUND(Assumptions!$B$12*Assumptions!B$20,0)</f>
        <v>5</v>
      </c>
      <c r="C7" s="33" t="n">
        <f aca="false">ROUND(Assumptions!$B$12*Assumptions!C$20,0)</f>
        <v>15</v>
      </c>
      <c r="D7" s="33" t="n">
        <f aca="false">ROUND(Assumptions!$B$12*Assumptions!D$20,0)</f>
        <v>26</v>
      </c>
      <c r="E7" s="33" t="n">
        <f aca="false">ROUND(Assumptions!$B$12*Assumptions!E$20,0)</f>
        <v>30</v>
      </c>
      <c r="F7" s="33" t="n">
        <f aca="false">ROUND(Assumptions!$B$12*Assumptions!F$20,0)</f>
        <v>30</v>
      </c>
    </row>
    <row r="8" customFormat="false" ht="15" hidden="false" customHeight="false" outlineLevel="0" collapsed="false">
      <c r="A8" s="10" t="s">
        <v>201</v>
      </c>
      <c r="B8" s="33" t="n">
        <f aca="false">ROUND((Assumptions!$B$11-Assumptions!$B$12)*Assumptions!B$20,0)</f>
        <v>24</v>
      </c>
      <c r="C8" s="33" t="n">
        <f aca="false">ROUND((Assumptions!$B$11-Assumptions!$B$12)*Assumptions!C$20,0)</f>
        <v>80</v>
      </c>
      <c r="D8" s="33" t="n">
        <f aca="false">ROUND((Assumptions!$B$11-Assumptions!$B$12)*Assumptions!D$20,0)</f>
        <v>136</v>
      </c>
      <c r="E8" s="33" t="n">
        <f aca="false">ROUND((Assumptions!$B$11-Assumptions!$B$12)*Assumptions!E$20,0)</f>
        <v>160</v>
      </c>
      <c r="F8" s="33" t="n">
        <f aca="false">ROUND((Assumptions!$B$11-Assumptions!$B$12)*Assumptions!F$20,0)</f>
        <v>160</v>
      </c>
    </row>
    <row r="9" customFormat="false" ht="15" hidden="false" customHeight="false" outlineLevel="0" collapsed="false">
      <c r="A9" s="10" t="s">
        <v>172</v>
      </c>
      <c r="B9" s="33" t="n">
        <f aca="false">0</f>
        <v>0</v>
      </c>
      <c r="C9" s="33" t="n">
        <f aca="false">0</f>
        <v>0</v>
      </c>
      <c r="D9" s="33" t="n">
        <f aca="false">0</f>
        <v>0</v>
      </c>
      <c r="E9" s="33" t="n">
        <f aca="false">0</f>
        <v>0</v>
      </c>
      <c r="F9" s="33" t="n">
        <f aca="false">0</f>
        <v>0</v>
      </c>
    </row>
    <row r="10" customFormat="false" ht="15" hidden="false" customHeight="false" outlineLevel="0" collapsed="false">
      <c r="A10" s="10" t="s">
        <v>202</v>
      </c>
      <c r="B10" s="33" t="n">
        <f aca="false">B6*Assumptions!$B$13+B9*Assumptions!$B$55</f>
        <v>87000</v>
      </c>
      <c r="C10" s="33" t="n">
        <f aca="false">C6*Assumptions!$B$13+C9*Assumptions!$B$55</f>
        <v>285000</v>
      </c>
      <c r="D10" s="33" t="n">
        <f aca="false">D6*Assumptions!$B$13+D9*Assumptions!$B$55</f>
        <v>486000</v>
      </c>
      <c r="E10" s="33" t="n">
        <f aca="false">E6*Assumptions!$B$13+E9*Assumptions!$B$55</f>
        <v>570000</v>
      </c>
      <c r="F10" s="33" t="n">
        <f aca="false">F6*Assumptions!$B$13+F9*Assumptions!$B$55</f>
        <v>570000</v>
      </c>
    </row>
    <row r="11" customFormat="false" ht="15" hidden="false" customHeight="false" outlineLevel="0" collapsed="false">
      <c r="A11" s="10" t="s">
        <v>203</v>
      </c>
      <c r="B11" s="33" t="n">
        <f aca="false">B7*Assumptions!$B$14+B9*Assumptions!$B$54</f>
        <v>17500</v>
      </c>
      <c r="C11" s="33" t="n">
        <f aca="false">C7*Assumptions!$B$14+C9*Assumptions!$B$54</f>
        <v>52500</v>
      </c>
      <c r="D11" s="33" t="n">
        <f aca="false">D7*Assumptions!$B$14+D9*Assumptions!$B$54</f>
        <v>91000</v>
      </c>
      <c r="E11" s="33" t="n">
        <f aca="false">E7*Assumptions!$B$14+E9*Assumptions!$B$54</f>
        <v>105000</v>
      </c>
      <c r="F11" s="33" t="n">
        <f aca="false">F7*Assumptions!$B$14+F9*Assumptions!$B$54</f>
        <v>105000</v>
      </c>
    </row>
    <row r="12" customFormat="false" ht="15" hidden="false" customHeight="false" outlineLevel="0" collapsed="false">
      <c r="A12" s="10" t="s">
        <v>204</v>
      </c>
      <c r="B12" s="33" t="n">
        <f aca="false">SUM(B11:B11)</f>
        <v>17500</v>
      </c>
      <c r="C12" s="33" t="n">
        <f aca="false">SUM(B11:C11)</f>
        <v>70000</v>
      </c>
      <c r="D12" s="33" t="n">
        <f aca="false">SUM(B11:D11)</f>
        <v>161000</v>
      </c>
      <c r="E12" s="33" t="n">
        <f aca="false">SUM(B11:E11)</f>
        <v>266000</v>
      </c>
      <c r="F12" s="33" t="n">
        <f aca="false">SUM(C11:F11)</f>
        <v>353500</v>
      </c>
    </row>
    <row r="13" customFormat="false" ht="15" hidden="false" customHeight="false" outlineLevel="0" collapsed="false">
      <c r="A13" s="10" t="s">
        <v>205</v>
      </c>
      <c r="B13" s="34" t="n">
        <f aca="false">B8*Assumptions!$B$15*Assumptions!$B$24*Assumptions!$B$25*Assumptions!$B$6</f>
        <v>294000</v>
      </c>
      <c r="C13" s="34" t="n">
        <f aca="false">C8*Assumptions!$B$15*Assumptions!$B$24*Assumptions!$B$25*Assumptions!$B$6</f>
        <v>980000</v>
      </c>
      <c r="D13" s="34" t="n">
        <f aca="false">D8*Assumptions!$B$15*Assumptions!$B$24*Assumptions!$B$25*Assumptions!$B$6</f>
        <v>1666000</v>
      </c>
      <c r="E13" s="34" t="n">
        <f aca="false">E8*Assumptions!$B$15*Assumptions!$B$24*Assumptions!$B$25*Assumptions!$B$6</f>
        <v>1960000</v>
      </c>
      <c r="F13" s="34" t="n">
        <f aca="false">F8*Assumptions!$B$15*Assumptions!$B$24*Assumptions!$B$25*Assumptions!$B$6</f>
        <v>1960000</v>
      </c>
    </row>
    <row r="14" customFormat="false" ht="15" hidden="false" customHeight="false" outlineLevel="0" collapsed="false">
      <c r="A14" s="10" t="s">
        <v>206</v>
      </c>
      <c r="B14" s="34" t="n">
        <f aca="false">B8*Assumptions!$B$13*Assumptions!$B$16*Assumptions!$B$26*Assumptions!$B$27*Assumptions!$B$28*Assumptions!$B$25*Assumptions!$B$6</f>
        <v>34560</v>
      </c>
      <c r="C14" s="34" t="n">
        <f aca="false">C8*Assumptions!$B$13*Assumptions!$B$16*Assumptions!$B$26*Assumptions!$B$27*Assumptions!$B$28*Assumptions!$B$25*Assumptions!$B$6</f>
        <v>115200</v>
      </c>
      <c r="D14" s="34" t="n">
        <f aca="false">D8*Assumptions!$B$13*Assumptions!$B$16*Assumptions!$B$26*Assumptions!$B$27*Assumptions!$B$28*Assumptions!$B$25*Assumptions!$B$6</f>
        <v>195840</v>
      </c>
      <c r="E14" s="34" t="n">
        <f aca="false">E8*Assumptions!$B$13*Assumptions!$B$16*Assumptions!$B$26*Assumptions!$B$27*Assumptions!$B$28*Assumptions!$B$25*Assumptions!$B$6</f>
        <v>230400</v>
      </c>
      <c r="F14" s="34" t="n">
        <f aca="false">F8*Assumptions!$B$13*Assumptions!$B$16*Assumptions!$B$26*Assumptions!$B$27*Assumptions!$B$28*Assumptions!$B$25*Assumptions!$B$6</f>
        <v>230400</v>
      </c>
    </row>
    <row r="15" customFormat="false" ht="15" hidden="false" customHeight="false" outlineLevel="0" collapsed="false">
      <c r="A15" s="10" t="s">
        <v>207</v>
      </c>
      <c r="B15" s="34" t="n">
        <f aca="false">B7*Assumptions!$B$29*Assumptions!$B$30*Assumptions!$B$31*Assumptions!$B$25*Assumptions!$B$6</f>
        <v>15750</v>
      </c>
      <c r="C15" s="34" t="n">
        <f aca="false">C7*Assumptions!$B$29*Assumptions!$B$30*Assumptions!$B$31*Assumptions!$B$25*Assumptions!$B$6</f>
        <v>47250</v>
      </c>
      <c r="D15" s="34" t="n">
        <f aca="false">D7*Assumptions!$B$29*Assumptions!$B$30*Assumptions!$B$31*Assumptions!$B$25*Assumptions!$B$6</f>
        <v>81900</v>
      </c>
      <c r="E15" s="34" t="n">
        <f aca="false">E7*Assumptions!$B$29*Assumptions!$B$30*Assumptions!$B$31*Assumptions!$B$25*Assumptions!$B$6</f>
        <v>94500</v>
      </c>
      <c r="F15" s="34" t="n">
        <f aca="false">F7*Assumptions!$B$29*Assumptions!$B$30*Assumptions!$B$31*Assumptions!$B$25*Assumptions!$B$6</f>
        <v>94500</v>
      </c>
    </row>
    <row r="16" customFormat="false" ht="15" hidden="false" customHeight="false" outlineLevel="0" collapsed="false">
      <c r="A16" s="10" t="s">
        <v>208</v>
      </c>
      <c r="B16" s="34" t="n">
        <f aca="false">B6*Assumptions!$B$32*Assumptions!$B$6</f>
        <v>0</v>
      </c>
      <c r="C16" s="34" t="n">
        <f aca="false">C6*Assumptions!$B$32*Assumptions!$B$6</f>
        <v>0</v>
      </c>
      <c r="D16" s="34" t="n">
        <f aca="false">D6*Assumptions!$B$32*Assumptions!$B$6</f>
        <v>0</v>
      </c>
      <c r="E16" s="34" t="n">
        <f aca="false">E6*Assumptions!$B$32*Assumptions!$B$6</f>
        <v>0</v>
      </c>
      <c r="F16" s="34" t="n">
        <f aca="false">F6*Assumptions!$B$32*Assumptions!$B$6</f>
        <v>0</v>
      </c>
    </row>
    <row r="17" customFormat="false" ht="15" hidden="false" customHeight="false" outlineLevel="0" collapsed="false">
      <c r="A17" s="12" t="s">
        <v>209</v>
      </c>
      <c r="B17" s="35" t="n">
        <f aca="false">SUM(B13:B16)</f>
        <v>344310</v>
      </c>
      <c r="C17" s="35" t="n">
        <f aca="false">SUM(C13:C16)</f>
        <v>1142450</v>
      </c>
      <c r="D17" s="35" t="n">
        <f aca="false">SUM(D13:D16)</f>
        <v>1943740</v>
      </c>
      <c r="E17" s="35" t="n">
        <f aca="false">SUM(E13:E16)</f>
        <v>2284900</v>
      </c>
      <c r="F17" s="35" t="n">
        <f aca="false">SUM(F13:F16)</f>
        <v>2284900</v>
      </c>
    </row>
    <row r="18" customFormat="false" ht="15" hidden="false" customHeight="false" outlineLevel="0" collapsed="false">
      <c r="A18" s="10" t="s">
        <v>210</v>
      </c>
      <c r="B18" s="34" t="n">
        <f aca="false">IF(B10&gt;=Assumptions!$B$37,Assumptions!B$45*Assumptions!$B$36*Assumptions!$C$6,0)</f>
        <v>0</v>
      </c>
      <c r="C18" s="34" t="n">
        <f aca="false">IF(C10&gt;=Assumptions!$B$37,Assumptions!C$45*Assumptions!$B$36*Assumptions!$C$6,0)</f>
        <v>192000</v>
      </c>
      <c r="D18" s="34" t="n">
        <f aca="false">IF(D10&gt;=Assumptions!$B$37,Assumptions!D$45*Assumptions!$B$36*Assumptions!$C$6,0)</f>
        <v>288000</v>
      </c>
      <c r="E18" s="34" t="n">
        <f aca="false">IF(E10&gt;=Assumptions!$B$37,Assumptions!E$45*Assumptions!$B$36*Assumptions!$C$6,0)</f>
        <v>480000</v>
      </c>
      <c r="F18" s="34" t="n">
        <f aca="false">IF(F10&gt;=Assumptions!$B$37,Assumptions!F$45*Assumptions!$B$36*Assumptions!$C$6,0)</f>
        <v>576000</v>
      </c>
    </row>
    <row r="19" customFormat="false" ht="15" hidden="false" customHeight="false" outlineLevel="0" collapsed="false">
      <c r="A19" s="10" t="s">
        <v>211</v>
      </c>
      <c r="B19" s="34" t="n">
        <f aca="false">Assumptions!B$46*Assumptions!$B$38*Assumptions!$C$6</f>
        <v>32000</v>
      </c>
      <c r="C19" s="34" t="n">
        <f aca="false">Assumptions!C$46*Assumptions!$B$38*Assumptions!$C$6</f>
        <v>96000</v>
      </c>
      <c r="D19" s="34" t="n">
        <f aca="false">Assumptions!D$46*Assumptions!$B$38*Assumptions!$C$6</f>
        <v>128000</v>
      </c>
      <c r="E19" s="34" t="n">
        <f aca="false">Assumptions!E$46*Assumptions!$B$38*Assumptions!$C$6</f>
        <v>160000</v>
      </c>
      <c r="F19" s="34" t="n">
        <f aca="false">Assumptions!F$46*Assumptions!$B$38*Assumptions!$C$6</f>
        <v>192000</v>
      </c>
    </row>
    <row r="20" customFormat="false" ht="15" hidden="false" customHeight="false" outlineLevel="0" collapsed="false">
      <c r="A20" s="10" t="s">
        <v>212</v>
      </c>
      <c r="B20" s="34" t="n">
        <f aca="false">IF(B12&gt;=Assumptions!$B$40,Assumptions!B$47*Assumptions!$B$39*Assumptions!$C$6,0)</f>
        <v>0</v>
      </c>
      <c r="C20" s="34" t="n">
        <f aca="false">IF(C12&gt;=Assumptions!$B$40,Assumptions!C$47*Assumptions!$B$39*Assumptions!$C$6,0)</f>
        <v>0</v>
      </c>
      <c r="D20" s="34" t="n">
        <f aca="false">IF(D12&gt;=Assumptions!$B$40,Assumptions!D$47*Assumptions!$B$39*Assumptions!$C$6,0)</f>
        <v>0</v>
      </c>
      <c r="E20" s="34" t="n">
        <f aca="false">IF(E12&gt;=Assumptions!$B$40,Assumptions!E$47*Assumptions!$B$39*Assumptions!$C$6,0)</f>
        <v>0</v>
      </c>
      <c r="F20" s="34" t="n">
        <f aca="false">IF(F12&gt;=Assumptions!$B$40,Assumptions!F$47*Assumptions!$B$39*Assumptions!$C$6,0)</f>
        <v>0</v>
      </c>
    </row>
    <row r="21" customFormat="false" ht="15" hidden="false" customHeight="false" outlineLevel="0" collapsed="false">
      <c r="A21" s="10" t="s">
        <v>213</v>
      </c>
      <c r="B21" s="34" t="n">
        <f aca="false">IF(B12&gt;=Assumptions!$B$41,Assumptions!B$48*Assumptions!$B$39*Assumptions!$C$6,0)</f>
        <v>0</v>
      </c>
      <c r="C21" s="34" t="n">
        <f aca="false">IF(C12&gt;=Assumptions!$B$41,Assumptions!C$48*Assumptions!$B$39*Assumptions!$C$6,0)</f>
        <v>0</v>
      </c>
      <c r="D21" s="34" t="n">
        <f aca="false">IF(D12&gt;=Assumptions!$B$41,Assumptions!D$48*Assumptions!$B$39*Assumptions!$C$6,0)</f>
        <v>0</v>
      </c>
      <c r="E21" s="34" t="n">
        <f aca="false">IF(E12&gt;=Assumptions!$B$41,Assumptions!E$48*Assumptions!$B$39*Assumptions!$C$6,0)</f>
        <v>0</v>
      </c>
      <c r="F21" s="34" t="n">
        <f aca="false">IF(F12&gt;=Assumptions!$B$41,Assumptions!F$48*Assumptions!$B$39*Assumptions!$C$6,0)</f>
        <v>0</v>
      </c>
    </row>
    <row r="22" customFormat="false" ht="15" hidden="false" customHeight="false" outlineLevel="0" collapsed="false">
      <c r="A22" s="10" t="s">
        <v>214</v>
      </c>
      <c r="B22" s="34" t="n">
        <f aca="false">B9*Assumptions!$B$56*Assumptions!$B$57*Assumptions!$C$6</f>
        <v>0</v>
      </c>
      <c r="C22" s="34" t="n">
        <f aca="false">C9*Assumptions!$B$56*Assumptions!$B$57*Assumptions!$C$6</f>
        <v>0</v>
      </c>
      <c r="D22" s="34" t="n">
        <f aca="false">D9*Assumptions!$B$56*Assumptions!$B$57*Assumptions!$C$6</f>
        <v>0</v>
      </c>
      <c r="E22" s="34" t="n">
        <f aca="false">E9*Assumptions!$B$56*Assumptions!$B$57*Assumptions!$C$6</f>
        <v>0</v>
      </c>
      <c r="F22" s="34" t="n">
        <f aca="false">F9*Assumptions!$B$56*Assumptions!$B$57*Assumptions!$C$6</f>
        <v>0</v>
      </c>
    </row>
    <row r="23" customFormat="false" ht="15" hidden="false" customHeight="false" outlineLevel="0" collapsed="false">
      <c r="A23" s="12" t="s">
        <v>215</v>
      </c>
      <c r="B23" s="35" t="n">
        <f aca="false">SUM(B18:B22)</f>
        <v>32000</v>
      </c>
      <c r="C23" s="35" t="n">
        <f aca="false">SUM(C18:C22)</f>
        <v>288000</v>
      </c>
      <c r="D23" s="35" t="n">
        <f aca="false">SUM(D18:D22)</f>
        <v>416000</v>
      </c>
      <c r="E23" s="35" t="n">
        <f aca="false">SUM(E18:E22)</f>
        <v>640000</v>
      </c>
      <c r="F23" s="35" t="n">
        <f aca="false">SUM(F18:F22)</f>
        <v>768000</v>
      </c>
    </row>
    <row r="24" customFormat="false" ht="15" hidden="false" customHeight="false" outlineLevel="0" collapsed="false">
      <c r="A24" s="10" t="s">
        <v>216</v>
      </c>
      <c r="B24" s="34" t="n">
        <f aca="false">Assumptions!B$76*Assumptions!$B$69</f>
        <v>1000000</v>
      </c>
      <c r="C24" s="34" t="n">
        <f aca="false">Assumptions!C$76*Assumptions!$B$69</f>
        <v>1600000</v>
      </c>
      <c r="D24" s="34" t="n">
        <f aca="false">Assumptions!D$76*Assumptions!$B$69</f>
        <v>2000000</v>
      </c>
      <c r="E24" s="34" t="n">
        <f aca="false">Assumptions!E$76*Assumptions!$B$69</f>
        <v>2200000</v>
      </c>
      <c r="F24" s="34" t="n">
        <f aca="false">Assumptions!F$76*Assumptions!$B$69</f>
        <v>2400000</v>
      </c>
    </row>
    <row r="25" customFormat="false" ht="15" hidden="false" customHeight="false" outlineLevel="0" collapsed="false">
      <c r="A25" s="10" t="s">
        <v>217</v>
      </c>
      <c r="B25" s="34" t="n">
        <f aca="false">B6*Assumptions!$B$70</f>
        <v>435000</v>
      </c>
      <c r="C25" s="34" t="n">
        <f aca="false">MAX(0,C6-B6)*Assumptions!$B$70</f>
        <v>990000</v>
      </c>
      <c r="D25" s="34" t="n">
        <f aca="false">MAX(0,D6-C6)*Assumptions!$B$70</f>
        <v>1005000</v>
      </c>
      <c r="E25" s="34" t="n">
        <f aca="false">MAX(0,E6-D6)*Assumptions!$B$70</f>
        <v>420000</v>
      </c>
      <c r="F25" s="34" t="n">
        <f aca="false">MAX(0,F6-E6)*Assumptions!$B$70</f>
        <v>0</v>
      </c>
    </row>
    <row r="26" customFormat="false" ht="15" hidden="false" customHeight="false" outlineLevel="0" collapsed="false">
      <c r="A26" s="10" t="s">
        <v>218</v>
      </c>
      <c r="B26" s="34" t="n">
        <f aca="false">Assumptions!$B$71+(B6+B9)*Assumptions!$B$72</f>
        <v>167400</v>
      </c>
      <c r="C26" s="34" t="n">
        <f aca="false">Assumptions!$B$71+(C6+C9)*Assumptions!$B$72</f>
        <v>207000</v>
      </c>
      <c r="D26" s="34" t="n">
        <f aca="false">Assumptions!$B$71+(D6+D9)*Assumptions!$B$72</f>
        <v>247200</v>
      </c>
      <c r="E26" s="34" t="n">
        <f aca="false">Assumptions!$B$71+(E6+E9)*Assumptions!$B$72</f>
        <v>264000</v>
      </c>
      <c r="F26" s="34" t="n">
        <f aca="false">Assumptions!$B$71+(F6+F9)*Assumptions!$B$72</f>
        <v>264000</v>
      </c>
    </row>
    <row r="27" customFormat="false" ht="15" hidden="false" customHeight="false" outlineLevel="0" collapsed="false">
      <c r="A27" s="10" t="s">
        <v>219</v>
      </c>
      <c r="B27" s="34" t="n">
        <f aca="false">Assumptions!$B$73</f>
        <v>150000</v>
      </c>
      <c r="C27" s="34" t="n">
        <f aca="false">Assumptions!$B$73</f>
        <v>150000</v>
      </c>
      <c r="D27" s="34" t="n">
        <f aca="false">Assumptions!$B$73</f>
        <v>150000</v>
      </c>
      <c r="E27" s="34" t="n">
        <f aca="false">Assumptions!$B$73</f>
        <v>150000</v>
      </c>
      <c r="F27" s="34" t="n">
        <f aca="false">Assumptions!$B$73</f>
        <v>150000</v>
      </c>
    </row>
    <row r="28" customFormat="false" ht="15" hidden="false" customHeight="false" outlineLevel="0" collapsed="false">
      <c r="A28" s="10" t="s">
        <v>220</v>
      </c>
      <c r="B28" s="34" t="n">
        <f aca="false">(B20+B21)*Assumptions!$B$42</f>
        <v>0</v>
      </c>
      <c r="C28" s="34" t="n">
        <f aca="false">(C20+C21)*Assumptions!$B$42</f>
        <v>0</v>
      </c>
      <c r="D28" s="34" t="n">
        <f aca="false">(D20+D21)*Assumptions!$B$42</f>
        <v>0</v>
      </c>
      <c r="E28" s="34" t="n">
        <f aca="false">(E20+E21)*Assumptions!$B$42</f>
        <v>0</v>
      </c>
      <c r="F28" s="34" t="n">
        <f aca="false">(F20+F21)*Assumptions!$B$42</f>
        <v>0</v>
      </c>
    </row>
    <row r="29" customFormat="false" ht="15" hidden="false" customHeight="false" outlineLevel="0" collapsed="false">
      <c r="A29" s="10" t="s">
        <v>221</v>
      </c>
      <c r="B29" s="34" t="n">
        <f aca="false">B9*Assumptions!$B$52</f>
        <v>0</v>
      </c>
      <c r="C29" s="34" t="n">
        <f aca="false">C9*Assumptions!$B$52</f>
        <v>0</v>
      </c>
      <c r="D29" s="34" t="n">
        <f aca="false">D9*Assumptions!$B$52</f>
        <v>0</v>
      </c>
      <c r="E29" s="34" t="n">
        <f aca="false">E9*Assumptions!$B$52</f>
        <v>0</v>
      </c>
      <c r="F29" s="34" t="n">
        <f aca="false">F9*Assumptions!$B$52</f>
        <v>0</v>
      </c>
    </row>
    <row r="30" customFormat="false" ht="15" hidden="false" customHeight="false" outlineLevel="0" collapsed="false">
      <c r="A30" s="10" t="s">
        <v>222</v>
      </c>
      <c r="B30" s="34" t="n">
        <f aca="false">B9*Assumptions!$B$53</f>
        <v>0</v>
      </c>
      <c r="C30" s="34" t="n">
        <f aca="false">MAX(0,C9-B9)*Assumptions!$B$53</f>
        <v>0</v>
      </c>
      <c r="D30" s="34" t="n">
        <f aca="false">MAX(0,D9-C9)*Assumptions!$B$53</f>
        <v>0</v>
      </c>
      <c r="E30" s="34" t="n">
        <f aca="false">MAX(0,E9-D9)*Assumptions!$B$53</f>
        <v>0</v>
      </c>
      <c r="F30" s="34" t="n">
        <f aca="false">MAX(0,F9-E9)*Assumptions!$B$53</f>
        <v>0</v>
      </c>
    </row>
    <row r="31" customFormat="false" ht="15" hidden="false" customHeight="false" outlineLevel="0" collapsed="false">
      <c r="A31" s="12" t="s">
        <v>223</v>
      </c>
      <c r="B31" s="35" t="n">
        <f aca="false">SUM(B24:B30)</f>
        <v>1752400</v>
      </c>
      <c r="C31" s="35" t="n">
        <f aca="false">SUM(C24:C30)</f>
        <v>2947000</v>
      </c>
      <c r="D31" s="35" t="n">
        <f aca="false">SUM(D24:D30)</f>
        <v>3402200</v>
      </c>
      <c r="E31" s="35" t="n">
        <f aca="false">SUM(E24:E30)</f>
        <v>3034000</v>
      </c>
      <c r="F31" s="35" t="n">
        <f aca="false">SUM(F24:F30)</f>
        <v>2814000</v>
      </c>
    </row>
    <row r="32" customFormat="false" ht="15" hidden="false" customHeight="false" outlineLevel="0" collapsed="false">
      <c r="A32" s="12" t="s">
        <v>224</v>
      </c>
      <c r="B32" s="35" t="n">
        <f aca="false">B17+B23-B31</f>
        <v>-1376090</v>
      </c>
      <c r="C32" s="35" t="n">
        <f aca="false">C17+C23-C31</f>
        <v>-1516550</v>
      </c>
      <c r="D32" s="35" t="n">
        <f aca="false">D17+D23-D31</f>
        <v>-1042460</v>
      </c>
      <c r="E32" s="35" t="n">
        <f aca="false">E17+E23-E31</f>
        <v>-109100</v>
      </c>
      <c r="F32" s="35" t="n">
        <f aca="false">F17+F23-F31</f>
        <v>238900</v>
      </c>
    </row>
    <row r="33" customFormat="false" ht="15" hidden="false" customHeight="false" outlineLevel="0" collapsed="false">
      <c r="A33" s="10" t="s">
        <v>225</v>
      </c>
      <c r="B33" s="34" t="n">
        <f aca="false">B32</f>
        <v>-1376090</v>
      </c>
      <c r="C33" s="34" t="n">
        <f aca="false">B33+C32</f>
        <v>-2892640</v>
      </c>
      <c r="D33" s="34" t="n">
        <f aca="false">C33+D32</f>
        <v>-3935100</v>
      </c>
      <c r="E33" s="34" t="n">
        <f aca="false">D33+E32</f>
        <v>-4044200</v>
      </c>
      <c r="F33" s="34" t="n">
        <f aca="false">E33+F32</f>
        <v>-3805300</v>
      </c>
    </row>
    <row r="34" customFormat="false" ht="15" hidden="false" customHeight="false" outlineLevel="0" collapsed="false">
      <c r="A34" s="10" t="s">
        <v>226</v>
      </c>
      <c r="B34" s="33" t="n">
        <f aca="false">IF(B33&gt;0,1,99)</f>
        <v>99</v>
      </c>
      <c r="C34" s="33" t="n">
        <f aca="false">IF(C33&gt;0,2,99)</f>
        <v>99</v>
      </c>
      <c r="D34" s="33" t="n">
        <f aca="false">IF(D33&gt;0,3,99)</f>
        <v>99</v>
      </c>
      <c r="E34" s="33" t="n">
        <f aca="false">IF(E33&gt;0,4,99)</f>
        <v>99</v>
      </c>
      <c r="F34" s="33" t="n">
        <f aca="false">IF(F33&gt;0,5,99)</f>
        <v>99</v>
      </c>
    </row>
    <row r="36" customFormat="false" ht="15" hidden="false" customHeight="false" outlineLevel="0" collapsed="false">
      <c r="A36" s="19" t="s">
        <v>227</v>
      </c>
      <c r="B36" s="20"/>
      <c r="C36" s="20"/>
      <c r="D36" s="20"/>
      <c r="E36" s="20"/>
      <c r="F36" s="20"/>
    </row>
    <row r="37" customFormat="false" ht="15" hidden="false" customHeight="false" outlineLevel="0" collapsed="false">
      <c r="A37" s="8" t="s">
        <v>198</v>
      </c>
      <c r="B37" s="9" t="s">
        <v>112</v>
      </c>
      <c r="C37" s="9" t="s">
        <v>113</v>
      </c>
      <c r="D37" s="9" t="s">
        <v>114</v>
      </c>
      <c r="E37" s="9" t="s">
        <v>115</v>
      </c>
      <c r="F37" s="9" t="s">
        <v>116</v>
      </c>
    </row>
    <row r="38" customFormat="false" ht="15" hidden="false" customHeight="false" outlineLevel="0" collapsed="false">
      <c r="A38" s="10" t="s">
        <v>199</v>
      </c>
      <c r="B38" s="33" t="n">
        <f aca="false">ROUND(Assumptions!$B$11*Assumptions!B$20,0)</f>
        <v>29</v>
      </c>
      <c r="C38" s="33" t="n">
        <f aca="false">ROUND(Assumptions!$B$11*Assumptions!C$20,0)</f>
        <v>95</v>
      </c>
      <c r="D38" s="33" t="n">
        <f aca="false">ROUND(Assumptions!$B$11*Assumptions!D$20,0)</f>
        <v>162</v>
      </c>
      <c r="E38" s="33" t="n">
        <f aca="false">ROUND(Assumptions!$B$11*Assumptions!E$20,0)</f>
        <v>190</v>
      </c>
      <c r="F38" s="33" t="n">
        <f aca="false">ROUND(Assumptions!$B$11*Assumptions!F$20,0)</f>
        <v>190</v>
      </c>
    </row>
    <row r="39" customFormat="false" ht="15" hidden="false" customHeight="false" outlineLevel="0" collapsed="false">
      <c r="A39" s="10" t="s">
        <v>200</v>
      </c>
      <c r="B39" s="33" t="n">
        <f aca="false">ROUND(Assumptions!$B$12*Assumptions!B$20,0)</f>
        <v>5</v>
      </c>
      <c r="C39" s="33" t="n">
        <f aca="false">ROUND(Assumptions!$B$12*Assumptions!C$20,0)</f>
        <v>15</v>
      </c>
      <c r="D39" s="33" t="n">
        <f aca="false">ROUND(Assumptions!$B$12*Assumptions!D$20,0)</f>
        <v>26</v>
      </c>
      <c r="E39" s="33" t="n">
        <f aca="false">ROUND(Assumptions!$B$12*Assumptions!E$20,0)</f>
        <v>30</v>
      </c>
      <c r="F39" s="33" t="n">
        <f aca="false">ROUND(Assumptions!$B$12*Assumptions!F$20,0)</f>
        <v>30</v>
      </c>
    </row>
    <row r="40" customFormat="false" ht="15" hidden="false" customHeight="false" outlineLevel="0" collapsed="false">
      <c r="A40" s="10" t="s">
        <v>201</v>
      </c>
      <c r="B40" s="33" t="n">
        <f aca="false">ROUND((Assumptions!$B$11-Assumptions!$B$12)*Assumptions!B$20,0)</f>
        <v>24</v>
      </c>
      <c r="C40" s="33" t="n">
        <f aca="false">ROUND((Assumptions!$B$11-Assumptions!$B$12)*Assumptions!C$20,0)</f>
        <v>80</v>
      </c>
      <c r="D40" s="33" t="n">
        <f aca="false">ROUND((Assumptions!$B$11-Assumptions!$B$12)*Assumptions!D$20,0)</f>
        <v>136</v>
      </c>
      <c r="E40" s="33" t="n">
        <f aca="false">ROUND((Assumptions!$B$11-Assumptions!$B$12)*Assumptions!E$20,0)</f>
        <v>160</v>
      </c>
      <c r="F40" s="33" t="n">
        <f aca="false">ROUND((Assumptions!$B$11-Assumptions!$B$12)*Assumptions!F$20,0)</f>
        <v>160</v>
      </c>
    </row>
    <row r="41" customFormat="false" ht="15" hidden="false" customHeight="false" outlineLevel="0" collapsed="false">
      <c r="A41" s="10" t="s">
        <v>172</v>
      </c>
      <c r="B41" s="33" t="n">
        <f aca="false">0</f>
        <v>0</v>
      </c>
      <c r="C41" s="33" t="n">
        <f aca="false">0</f>
        <v>0</v>
      </c>
      <c r="D41" s="33" t="n">
        <f aca="false">0</f>
        <v>0</v>
      </c>
      <c r="E41" s="33" t="n">
        <f aca="false">0</f>
        <v>0</v>
      </c>
      <c r="F41" s="33" t="n">
        <f aca="false">0</f>
        <v>0</v>
      </c>
    </row>
    <row r="42" customFormat="false" ht="15" hidden="false" customHeight="false" outlineLevel="0" collapsed="false">
      <c r="A42" s="10" t="s">
        <v>202</v>
      </c>
      <c r="B42" s="33" t="n">
        <f aca="false">B38*Assumptions!$B$13+B41*Assumptions!$B$55</f>
        <v>87000</v>
      </c>
      <c r="C42" s="33" t="n">
        <f aca="false">C38*Assumptions!$B$13+C41*Assumptions!$B$55</f>
        <v>285000</v>
      </c>
      <c r="D42" s="33" t="n">
        <f aca="false">D38*Assumptions!$B$13+D41*Assumptions!$B$55</f>
        <v>486000</v>
      </c>
      <c r="E42" s="33" t="n">
        <f aca="false">E38*Assumptions!$B$13+E41*Assumptions!$B$55</f>
        <v>570000</v>
      </c>
      <c r="F42" s="33" t="n">
        <f aca="false">F38*Assumptions!$B$13+F41*Assumptions!$B$55</f>
        <v>570000</v>
      </c>
    </row>
    <row r="43" customFormat="false" ht="15" hidden="false" customHeight="false" outlineLevel="0" collapsed="false">
      <c r="A43" s="10" t="s">
        <v>203</v>
      </c>
      <c r="B43" s="33" t="n">
        <f aca="false">B39*Assumptions!$B$14+B41*Assumptions!$B$54</f>
        <v>17500</v>
      </c>
      <c r="C43" s="33" t="n">
        <f aca="false">C39*Assumptions!$B$14+C41*Assumptions!$B$54</f>
        <v>52500</v>
      </c>
      <c r="D43" s="33" t="n">
        <f aca="false">D39*Assumptions!$B$14+D41*Assumptions!$B$54</f>
        <v>91000</v>
      </c>
      <c r="E43" s="33" t="n">
        <f aca="false">E39*Assumptions!$B$14+E41*Assumptions!$B$54</f>
        <v>105000</v>
      </c>
      <c r="F43" s="33" t="n">
        <f aca="false">F39*Assumptions!$B$14+F41*Assumptions!$B$54</f>
        <v>105000</v>
      </c>
    </row>
    <row r="44" customFormat="false" ht="15" hidden="false" customHeight="false" outlineLevel="0" collapsed="false">
      <c r="A44" s="10" t="s">
        <v>204</v>
      </c>
      <c r="B44" s="33" t="n">
        <f aca="false">SUM(B43:B43)</f>
        <v>17500</v>
      </c>
      <c r="C44" s="33" t="n">
        <f aca="false">SUM(B43:C43)</f>
        <v>70000</v>
      </c>
      <c r="D44" s="33" t="n">
        <f aca="false">SUM(B43:D43)</f>
        <v>161000</v>
      </c>
      <c r="E44" s="33" t="n">
        <f aca="false">SUM(B43:E43)</f>
        <v>266000</v>
      </c>
      <c r="F44" s="33" t="n">
        <f aca="false">SUM(C43:F43)</f>
        <v>353500</v>
      </c>
    </row>
    <row r="45" customFormat="false" ht="15" hidden="false" customHeight="false" outlineLevel="0" collapsed="false">
      <c r="A45" s="10" t="s">
        <v>205</v>
      </c>
      <c r="B45" s="34" t="n">
        <f aca="false">B40*Assumptions!$B$15*Assumptions!$B$24*Assumptions!$B$25*Assumptions!$B$7</f>
        <v>588000</v>
      </c>
      <c r="C45" s="34" t="n">
        <f aca="false">C40*Assumptions!$B$15*Assumptions!$B$24*Assumptions!$B$25*Assumptions!$B$7</f>
        <v>1960000</v>
      </c>
      <c r="D45" s="34" t="n">
        <f aca="false">D40*Assumptions!$B$15*Assumptions!$B$24*Assumptions!$B$25*Assumptions!$B$7</f>
        <v>3332000</v>
      </c>
      <c r="E45" s="34" t="n">
        <f aca="false">E40*Assumptions!$B$15*Assumptions!$B$24*Assumptions!$B$25*Assumptions!$B$7</f>
        <v>3920000</v>
      </c>
      <c r="F45" s="34" t="n">
        <f aca="false">F40*Assumptions!$B$15*Assumptions!$B$24*Assumptions!$B$25*Assumptions!$B$7</f>
        <v>3920000</v>
      </c>
    </row>
    <row r="46" customFormat="false" ht="15" hidden="false" customHeight="false" outlineLevel="0" collapsed="false">
      <c r="A46" s="10" t="s">
        <v>206</v>
      </c>
      <c r="B46" s="34" t="n">
        <f aca="false">B40*Assumptions!$B$13*Assumptions!$B$16*Assumptions!$B$26*Assumptions!$B$27*Assumptions!$B$28*Assumptions!$B$25*Assumptions!$B$7</f>
        <v>69120</v>
      </c>
      <c r="C46" s="34" t="n">
        <f aca="false">C40*Assumptions!$B$13*Assumptions!$B$16*Assumptions!$B$26*Assumptions!$B$27*Assumptions!$B$28*Assumptions!$B$25*Assumptions!$B$7</f>
        <v>230400</v>
      </c>
      <c r="D46" s="34" t="n">
        <f aca="false">D40*Assumptions!$B$13*Assumptions!$B$16*Assumptions!$B$26*Assumptions!$B$27*Assumptions!$B$28*Assumptions!$B$25*Assumptions!$B$7</f>
        <v>391680</v>
      </c>
      <c r="E46" s="34" t="n">
        <f aca="false">E40*Assumptions!$B$13*Assumptions!$B$16*Assumptions!$B$26*Assumptions!$B$27*Assumptions!$B$28*Assumptions!$B$25*Assumptions!$B$7</f>
        <v>460800</v>
      </c>
      <c r="F46" s="34" t="n">
        <f aca="false">F40*Assumptions!$B$13*Assumptions!$B$16*Assumptions!$B$26*Assumptions!$B$27*Assumptions!$B$28*Assumptions!$B$25*Assumptions!$B$7</f>
        <v>460800</v>
      </c>
    </row>
    <row r="47" customFormat="false" ht="15" hidden="false" customHeight="false" outlineLevel="0" collapsed="false">
      <c r="A47" s="10" t="s">
        <v>207</v>
      </c>
      <c r="B47" s="34" t="n">
        <f aca="false">B39*Assumptions!$B$29*Assumptions!$B$30*Assumptions!$B$31*Assumptions!$B$25*Assumptions!$B$7</f>
        <v>31500</v>
      </c>
      <c r="C47" s="34" t="n">
        <f aca="false">C39*Assumptions!$B$29*Assumptions!$B$30*Assumptions!$B$31*Assumptions!$B$25*Assumptions!$B$7</f>
        <v>94500</v>
      </c>
      <c r="D47" s="34" t="n">
        <f aca="false">D39*Assumptions!$B$29*Assumptions!$B$30*Assumptions!$B$31*Assumptions!$B$25*Assumptions!$B$7</f>
        <v>163800</v>
      </c>
      <c r="E47" s="34" t="n">
        <f aca="false">E39*Assumptions!$B$29*Assumptions!$B$30*Assumptions!$B$31*Assumptions!$B$25*Assumptions!$B$7</f>
        <v>189000</v>
      </c>
      <c r="F47" s="34" t="n">
        <f aca="false">F39*Assumptions!$B$29*Assumptions!$B$30*Assumptions!$B$31*Assumptions!$B$25*Assumptions!$B$7</f>
        <v>189000</v>
      </c>
    </row>
    <row r="48" customFormat="false" ht="15" hidden="false" customHeight="false" outlineLevel="0" collapsed="false">
      <c r="A48" s="10" t="s">
        <v>208</v>
      </c>
      <c r="B48" s="34" t="n">
        <f aca="false">B38*Assumptions!$B$32*Assumptions!$B$7</f>
        <v>0</v>
      </c>
      <c r="C48" s="34" t="n">
        <f aca="false">C38*Assumptions!$B$32*Assumptions!$B$7</f>
        <v>0</v>
      </c>
      <c r="D48" s="34" t="n">
        <f aca="false">D38*Assumptions!$B$32*Assumptions!$B$7</f>
        <v>0</v>
      </c>
      <c r="E48" s="34" t="n">
        <f aca="false">E38*Assumptions!$B$32*Assumptions!$B$7</f>
        <v>0</v>
      </c>
      <c r="F48" s="34" t="n">
        <f aca="false">F38*Assumptions!$B$32*Assumptions!$B$7</f>
        <v>0</v>
      </c>
    </row>
    <row r="49" customFormat="false" ht="15" hidden="false" customHeight="false" outlineLevel="0" collapsed="false">
      <c r="A49" s="12" t="s">
        <v>209</v>
      </c>
      <c r="B49" s="35" t="n">
        <f aca="false">SUM(B45:B48)</f>
        <v>688620</v>
      </c>
      <c r="C49" s="35" t="n">
        <f aca="false">SUM(C45:C48)</f>
        <v>2284900</v>
      </c>
      <c r="D49" s="35" t="n">
        <f aca="false">SUM(D45:D48)</f>
        <v>3887480</v>
      </c>
      <c r="E49" s="35" t="n">
        <f aca="false">SUM(E45:E48)</f>
        <v>4569800</v>
      </c>
      <c r="F49" s="35" t="n">
        <f aca="false">SUM(F45:F48)</f>
        <v>4569800</v>
      </c>
    </row>
    <row r="50" customFormat="false" ht="15" hidden="false" customHeight="false" outlineLevel="0" collapsed="false">
      <c r="A50" s="10" t="s">
        <v>210</v>
      </c>
      <c r="B50" s="34" t="n">
        <f aca="false">IF(B42&gt;=Assumptions!$B$37,Assumptions!B$45*Assumptions!$B$36*Assumptions!$C$7,0)</f>
        <v>0</v>
      </c>
      <c r="C50" s="34" t="n">
        <f aca="false">IF(C42&gt;=Assumptions!$B$37,Assumptions!C$45*Assumptions!$B$36*Assumptions!$C$7,0)</f>
        <v>240000</v>
      </c>
      <c r="D50" s="34" t="n">
        <f aca="false">IF(D42&gt;=Assumptions!$B$37,Assumptions!D$45*Assumptions!$B$36*Assumptions!$C$7,0)</f>
        <v>360000</v>
      </c>
      <c r="E50" s="34" t="n">
        <f aca="false">IF(E42&gt;=Assumptions!$B$37,Assumptions!E$45*Assumptions!$B$36*Assumptions!$C$7,0)</f>
        <v>600000</v>
      </c>
      <c r="F50" s="34" t="n">
        <f aca="false">IF(F42&gt;=Assumptions!$B$37,Assumptions!F$45*Assumptions!$B$36*Assumptions!$C$7,0)</f>
        <v>720000</v>
      </c>
    </row>
    <row r="51" customFormat="false" ht="15" hidden="false" customHeight="false" outlineLevel="0" collapsed="false">
      <c r="A51" s="10" t="s">
        <v>211</v>
      </c>
      <c r="B51" s="34" t="n">
        <f aca="false">Assumptions!B$46*Assumptions!$B$38*Assumptions!$C$7</f>
        <v>40000</v>
      </c>
      <c r="C51" s="34" t="n">
        <f aca="false">Assumptions!C$46*Assumptions!$B$38*Assumptions!$C$7</f>
        <v>120000</v>
      </c>
      <c r="D51" s="34" t="n">
        <f aca="false">Assumptions!D$46*Assumptions!$B$38*Assumptions!$C$7</f>
        <v>160000</v>
      </c>
      <c r="E51" s="34" t="n">
        <f aca="false">Assumptions!E$46*Assumptions!$B$38*Assumptions!$C$7</f>
        <v>200000</v>
      </c>
      <c r="F51" s="34" t="n">
        <f aca="false">Assumptions!F$46*Assumptions!$B$38*Assumptions!$C$7</f>
        <v>240000</v>
      </c>
    </row>
    <row r="52" customFormat="false" ht="15" hidden="false" customHeight="false" outlineLevel="0" collapsed="false">
      <c r="A52" s="10" t="s">
        <v>212</v>
      </c>
      <c r="B52" s="34" t="n">
        <f aca="false">IF(B44&gt;=Assumptions!$B$40,Assumptions!B$47*Assumptions!$B$39*Assumptions!$C$7,0)</f>
        <v>0</v>
      </c>
      <c r="C52" s="34" t="n">
        <f aca="false">IF(C44&gt;=Assumptions!$B$40,Assumptions!C$47*Assumptions!$B$39*Assumptions!$C$7,0)</f>
        <v>0</v>
      </c>
      <c r="D52" s="34" t="n">
        <f aca="false">IF(D44&gt;=Assumptions!$B$40,Assumptions!D$47*Assumptions!$B$39*Assumptions!$C$7,0)</f>
        <v>0</v>
      </c>
      <c r="E52" s="34" t="n">
        <f aca="false">IF(E44&gt;=Assumptions!$B$40,Assumptions!E$47*Assumptions!$B$39*Assumptions!$C$7,0)</f>
        <v>0</v>
      </c>
      <c r="F52" s="34" t="n">
        <f aca="false">IF(F44&gt;=Assumptions!$B$40,Assumptions!F$47*Assumptions!$B$39*Assumptions!$C$7,0)</f>
        <v>0</v>
      </c>
    </row>
    <row r="53" customFormat="false" ht="15" hidden="false" customHeight="false" outlineLevel="0" collapsed="false">
      <c r="A53" s="10" t="s">
        <v>213</v>
      </c>
      <c r="B53" s="34" t="n">
        <f aca="false">IF(B44&gt;=Assumptions!$B$41,Assumptions!B$48*Assumptions!$B$39*Assumptions!$C$7,0)</f>
        <v>0</v>
      </c>
      <c r="C53" s="34" t="n">
        <f aca="false">IF(C44&gt;=Assumptions!$B$41,Assumptions!C$48*Assumptions!$B$39*Assumptions!$C$7,0)</f>
        <v>0</v>
      </c>
      <c r="D53" s="34" t="n">
        <f aca="false">IF(D44&gt;=Assumptions!$B$41,Assumptions!D$48*Assumptions!$B$39*Assumptions!$C$7,0)</f>
        <v>0</v>
      </c>
      <c r="E53" s="34" t="n">
        <f aca="false">IF(E44&gt;=Assumptions!$B$41,Assumptions!E$48*Assumptions!$B$39*Assumptions!$C$7,0)</f>
        <v>0</v>
      </c>
      <c r="F53" s="34" t="n">
        <f aca="false">IF(F44&gt;=Assumptions!$B$41,Assumptions!F$48*Assumptions!$B$39*Assumptions!$C$7,0)</f>
        <v>0</v>
      </c>
    </row>
    <row r="54" customFormat="false" ht="15" hidden="false" customHeight="false" outlineLevel="0" collapsed="false">
      <c r="A54" s="10" t="s">
        <v>214</v>
      </c>
      <c r="B54" s="34" t="n">
        <f aca="false">B41*Assumptions!$B$56*Assumptions!$B$57*Assumptions!$C$7</f>
        <v>0</v>
      </c>
      <c r="C54" s="34" t="n">
        <f aca="false">C41*Assumptions!$B$56*Assumptions!$B$57*Assumptions!$C$7</f>
        <v>0</v>
      </c>
      <c r="D54" s="34" t="n">
        <f aca="false">D41*Assumptions!$B$56*Assumptions!$B$57*Assumptions!$C$7</f>
        <v>0</v>
      </c>
      <c r="E54" s="34" t="n">
        <f aca="false">E41*Assumptions!$B$56*Assumptions!$B$57*Assumptions!$C$7</f>
        <v>0</v>
      </c>
      <c r="F54" s="34" t="n">
        <f aca="false">F41*Assumptions!$B$56*Assumptions!$B$57*Assumptions!$C$7</f>
        <v>0</v>
      </c>
    </row>
    <row r="55" customFormat="false" ht="15" hidden="false" customHeight="false" outlineLevel="0" collapsed="false">
      <c r="A55" s="12" t="s">
        <v>215</v>
      </c>
      <c r="B55" s="35" t="n">
        <f aca="false">SUM(B50:B54)</f>
        <v>40000</v>
      </c>
      <c r="C55" s="35" t="n">
        <f aca="false">SUM(C50:C54)</f>
        <v>360000</v>
      </c>
      <c r="D55" s="35" t="n">
        <f aca="false">SUM(D50:D54)</f>
        <v>520000</v>
      </c>
      <c r="E55" s="35" t="n">
        <f aca="false">SUM(E50:E54)</f>
        <v>800000</v>
      </c>
      <c r="F55" s="35" t="n">
        <f aca="false">SUM(F50:F54)</f>
        <v>960000</v>
      </c>
    </row>
    <row r="56" customFormat="false" ht="15" hidden="false" customHeight="false" outlineLevel="0" collapsed="false">
      <c r="A56" s="10" t="s">
        <v>216</v>
      </c>
      <c r="B56" s="34" t="n">
        <f aca="false">Assumptions!B$76*Assumptions!$B$69</f>
        <v>1000000</v>
      </c>
      <c r="C56" s="34" t="n">
        <f aca="false">Assumptions!C$76*Assumptions!$B$69</f>
        <v>1600000</v>
      </c>
      <c r="D56" s="34" t="n">
        <f aca="false">Assumptions!D$76*Assumptions!$B$69</f>
        <v>2000000</v>
      </c>
      <c r="E56" s="34" t="n">
        <f aca="false">Assumptions!E$76*Assumptions!$B$69</f>
        <v>2200000</v>
      </c>
      <c r="F56" s="34" t="n">
        <f aca="false">Assumptions!F$76*Assumptions!$B$69</f>
        <v>2400000</v>
      </c>
    </row>
    <row r="57" customFormat="false" ht="15" hidden="false" customHeight="false" outlineLevel="0" collapsed="false">
      <c r="A57" s="10" t="s">
        <v>217</v>
      </c>
      <c r="B57" s="34" t="n">
        <f aca="false">B38*Assumptions!$B$70</f>
        <v>435000</v>
      </c>
      <c r="C57" s="34" t="n">
        <f aca="false">MAX(0,C38-B38)*Assumptions!$B$70</f>
        <v>990000</v>
      </c>
      <c r="D57" s="34" t="n">
        <f aca="false">MAX(0,D38-C38)*Assumptions!$B$70</f>
        <v>1005000</v>
      </c>
      <c r="E57" s="34" t="n">
        <f aca="false">MAX(0,E38-D38)*Assumptions!$B$70</f>
        <v>420000</v>
      </c>
      <c r="F57" s="34" t="n">
        <f aca="false">MAX(0,F38-E38)*Assumptions!$B$70</f>
        <v>0</v>
      </c>
    </row>
    <row r="58" customFormat="false" ht="15" hidden="false" customHeight="false" outlineLevel="0" collapsed="false">
      <c r="A58" s="10" t="s">
        <v>218</v>
      </c>
      <c r="B58" s="34" t="n">
        <f aca="false">Assumptions!$B$71+(B38+B41)*Assumptions!$B$72</f>
        <v>167400</v>
      </c>
      <c r="C58" s="34" t="n">
        <f aca="false">Assumptions!$B$71+(C38+C41)*Assumptions!$B$72</f>
        <v>207000</v>
      </c>
      <c r="D58" s="34" t="n">
        <f aca="false">Assumptions!$B$71+(D38+D41)*Assumptions!$B$72</f>
        <v>247200</v>
      </c>
      <c r="E58" s="34" t="n">
        <f aca="false">Assumptions!$B$71+(E38+E41)*Assumptions!$B$72</f>
        <v>264000</v>
      </c>
      <c r="F58" s="34" t="n">
        <f aca="false">Assumptions!$B$71+(F38+F41)*Assumptions!$B$72</f>
        <v>264000</v>
      </c>
    </row>
    <row r="59" customFormat="false" ht="15" hidden="false" customHeight="false" outlineLevel="0" collapsed="false">
      <c r="A59" s="10" t="s">
        <v>219</v>
      </c>
      <c r="B59" s="34" t="n">
        <f aca="false">Assumptions!$B$73</f>
        <v>150000</v>
      </c>
      <c r="C59" s="34" t="n">
        <f aca="false">Assumptions!$B$73</f>
        <v>150000</v>
      </c>
      <c r="D59" s="34" t="n">
        <f aca="false">Assumptions!$B$73</f>
        <v>150000</v>
      </c>
      <c r="E59" s="34" t="n">
        <f aca="false">Assumptions!$B$73</f>
        <v>150000</v>
      </c>
      <c r="F59" s="34" t="n">
        <f aca="false">Assumptions!$B$73</f>
        <v>150000</v>
      </c>
    </row>
    <row r="60" customFormat="false" ht="15" hidden="false" customHeight="false" outlineLevel="0" collapsed="false">
      <c r="A60" s="10" t="s">
        <v>220</v>
      </c>
      <c r="B60" s="34" t="n">
        <f aca="false">(B52+B53)*Assumptions!$B$42</f>
        <v>0</v>
      </c>
      <c r="C60" s="34" t="n">
        <f aca="false">(C52+C53)*Assumptions!$B$42</f>
        <v>0</v>
      </c>
      <c r="D60" s="34" t="n">
        <f aca="false">(D52+D53)*Assumptions!$B$42</f>
        <v>0</v>
      </c>
      <c r="E60" s="34" t="n">
        <f aca="false">(E52+E53)*Assumptions!$B$42</f>
        <v>0</v>
      </c>
      <c r="F60" s="34" t="n">
        <f aca="false">(F52+F53)*Assumptions!$B$42</f>
        <v>0</v>
      </c>
    </row>
    <row r="61" customFormat="false" ht="15" hidden="false" customHeight="false" outlineLevel="0" collapsed="false">
      <c r="A61" s="10" t="s">
        <v>221</v>
      </c>
      <c r="B61" s="34" t="n">
        <f aca="false">B41*Assumptions!$B$52</f>
        <v>0</v>
      </c>
      <c r="C61" s="34" t="n">
        <f aca="false">C41*Assumptions!$B$52</f>
        <v>0</v>
      </c>
      <c r="D61" s="34" t="n">
        <f aca="false">D41*Assumptions!$B$52</f>
        <v>0</v>
      </c>
      <c r="E61" s="34" t="n">
        <f aca="false">E41*Assumptions!$B$52</f>
        <v>0</v>
      </c>
      <c r="F61" s="34" t="n">
        <f aca="false">F41*Assumptions!$B$52</f>
        <v>0</v>
      </c>
    </row>
    <row r="62" customFormat="false" ht="15" hidden="false" customHeight="false" outlineLevel="0" collapsed="false">
      <c r="A62" s="10" t="s">
        <v>222</v>
      </c>
      <c r="B62" s="34" t="n">
        <f aca="false">B41*Assumptions!$B$53</f>
        <v>0</v>
      </c>
      <c r="C62" s="34" t="n">
        <f aca="false">MAX(0,C41-B41)*Assumptions!$B$53</f>
        <v>0</v>
      </c>
      <c r="D62" s="34" t="n">
        <f aca="false">MAX(0,D41-C41)*Assumptions!$B$53</f>
        <v>0</v>
      </c>
      <c r="E62" s="34" t="n">
        <f aca="false">MAX(0,E41-D41)*Assumptions!$B$53</f>
        <v>0</v>
      </c>
      <c r="F62" s="34" t="n">
        <f aca="false">MAX(0,F41-E41)*Assumptions!$B$53</f>
        <v>0</v>
      </c>
    </row>
    <row r="63" customFormat="false" ht="15" hidden="false" customHeight="false" outlineLevel="0" collapsed="false">
      <c r="A63" s="12" t="s">
        <v>223</v>
      </c>
      <c r="B63" s="35" t="n">
        <f aca="false">SUM(B56:B62)</f>
        <v>1752400</v>
      </c>
      <c r="C63" s="35" t="n">
        <f aca="false">SUM(C56:C62)</f>
        <v>2947000</v>
      </c>
      <c r="D63" s="35" t="n">
        <f aca="false">SUM(D56:D62)</f>
        <v>3402200</v>
      </c>
      <c r="E63" s="35" t="n">
        <f aca="false">SUM(E56:E62)</f>
        <v>3034000</v>
      </c>
      <c r="F63" s="35" t="n">
        <f aca="false">SUM(F56:F62)</f>
        <v>2814000</v>
      </c>
    </row>
    <row r="64" customFormat="false" ht="15" hidden="false" customHeight="false" outlineLevel="0" collapsed="false">
      <c r="A64" s="12" t="s">
        <v>224</v>
      </c>
      <c r="B64" s="35" t="n">
        <f aca="false">B49+B55-B63</f>
        <v>-1023780</v>
      </c>
      <c r="C64" s="35" t="n">
        <f aca="false">C49+C55-C63</f>
        <v>-302100</v>
      </c>
      <c r="D64" s="35" t="n">
        <f aca="false">D49+D55-D63</f>
        <v>1005280</v>
      </c>
      <c r="E64" s="35" t="n">
        <f aca="false">E49+E55-E63</f>
        <v>2335800</v>
      </c>
      <c r="F64" s="35" t="n">
        <f aca="false">F49+F55-F63</f>
        <v>2715800</v>
      </c>
    </row>
    <row r="65" customFormat="false" ht="15" hidden="false" customHeight="false" outlineLevel="0" collapsed="false">
      <c r="A65" s="10" t="s">
        <v>225</v>
      </c>
      <c r="B65" s="34" t="n">
        <f aca="false">B64</f>
        <v>-1023780</v>
      </c>
      <c r="C65" s="34" t="n">
        <f aca="false">B65+C64</f>
        <v>-1325880</v>
      </c>
      <c r="D65" s="34" t="n">
        <f aca="false">C65+D64</f>
        <v>-320600</v>
      </c>
      <c r="E65" s="34" t="n">
        <f aca="false">D65+E64</f>
        <v>2015200</v>
      </c>
      <c r="F65" s="34" t="n">
        <f aca="false">E65+F64</f>
        <v>4731000</v>
      </c>
    </row>
    <row r="66" customFormat="false" ht="15" hidden="false" customHeight="false" outlineLevel="0" collapsed="false">
      <c r="A66" s="10" t="s">
        <v>226</v>
      </c>
      <c r="B66" s="33" t="n">
        <f aca="false">IF(B65&gt;0,1,99)</f>
        <v>99</v>
      </c>
      <c r="C66" s="33" t="n">
        <f aca="false">IF(C65&gt;0,2,99)</f>
        <v>99</v>
      </c>
      <c r="D66" s="33" t="n">
        <f aca="false">IF(D65&gt;0,3,99)</f>
        <v>99</v>
      </c>
      <c r="E66" s="33" t="n">
        <f aca="false">IF(E65&gt;0,4,99)</f>
        <v>4</v>
      </c>
      <c r="F66" s="33" t="n">
        <f aca="false">IF(F65&gt;0,5,99)</f>
        <v>5</v>
      </c>
    </row>
    <row r="68" customFormat="false" ht="15" hidden="false" customHeight="false" outlineLevel="0" collapsed="false">
      <c r="A68" s="19" t="s">
        <v>228</v>
      </c>
      <c r="B68" s="20"/>
      <c r="C68" s="20"/>
      <c r="D68" s="20"/>
      <c r="E68" s="20"/>
      <c r="F68" s="20"/>
    </row>
    <row r="69" customFormat="false" ht="15" hidden="false" customHeight="false" outlineLevel="0" collapsed="false">
      <c r="A69" s="8" t="s">
        <v>198</v>
      </c>
      <c r="B69" s="9" t="s">
        <v>112</v>
      </c>
      <c r="C69" s="9" t="s">
        <v>113</v>
      </c>
      <c r="D69" s="9" t="s">
        <v>114</v>
      </c>
      <c r="E69" s="9" t="s">
        <v>115</v>
      </c>
      <c r="F69" s="9" t="s">
        <v>116</v>
      </c>
    </row>
    <row r="70" customFormat="false" ht="15" hidden="false" customHeight="false" outlineLevel="0" collapsed="false">
      <c r="A70" s="10" t="s">
        <v>199</v>
      </c>
      <c r="B70" s="33" t="n">
        <f aca="false">ROUND(Assumptions!$B$11*Assumptions!B$20,0)</f>
        <v>29</v>
      </c>
      <c r="C70" s="33" t="n">
        <f aca="false">ROUND(Assumptions!$B$11*Assumptions!C$20,0)</f>
        <v>95</v>
      </c>
      <c r="D70" s="33" t="n">
        <f aca="false">ROUND(Assumptions!$B$11*Assumptions!D$20,0)</f>
        <v>162</v>
      </c>
      <c r="E70" s="33" t="n">
        <f aca="false">ROUND(Assumptions!$B$11*Assumptions!E$20,0)</f>
        <v>190</v>
      </c>
      <c r="F70" s="33" t="n">
        <f aca="false">ROUND(Assumptions!$B$11*Assumptions!F$20,0)</f>
        <v>190</v>
      </c>
    </row>
    <row r="71" customFormat="false" ht="15" hidden="false" customHeight="false" outlineLevel="0" collapsed="false">
      <c r="A71" s="10" t="s">
        <v>200</v>
      </c>
      <c r="B71" s="33" t="n">
        <f aca="false">ROUND(Assumptions!$B$12*Assumptions!B$20,0)</f>
        <v>5</v>
      </c>
      <c r="C71" s="33" t="n">
        <f aca="false">ROUND(Assumptions!$B$12*Assumptions!C$20,0)</f>
        <v>15</v>
      </c>
      <c r="D71" s="33" t="n">
        <f aca="false">ROUND(Assumptions!$B$12*Assumptions!D$20,0)</f>
        <v>26</v>
      </c>
      <c r="E71" s="33" t="n">
        <f aca="false">ROUND(Assumptions!$B$12*Assumptions!E$20,0)</f>
        <v>30</v>
      </c>
      <c r="F71" s="33" t="n">
        <f aca="false">ROUND(Assumptions!$B$12*Assumptions!F$20,0)</f>
        <v>30</v>
      </c>
    </row>
    <row r="72" customFormat="false" ht="15" hidden="false" customHeight="false" outlineLevel="0" collapsed="false">
      <c r="A72" s="10" t="s">
        <v>201</v>
      </c>
      <c r="B72" s="33" t="n">
        <f aca="false">ROUND((Assumptions!$B$11-Assumptions!$B$12)*Assumptions!B$20,0)</f>
        <v>24</v>
      </c>
      <c r="C72" s="33" t="n">
        <f aca="false">ROUND((Assumptions!$B$11-Assumptions!$B$12)*Assumptions!C$20,0)</f>
        <v>80</v>
      </c>
      <c r="D72" s="33" t="n">
        <f aca="false">ROUND((Assumptions!$B$11-Assumptions!$B$12)*Assumptions!D$20,0)</f>
        <v>136</v>
      </c>
      <c r="E72" s="33" t="n">
        <f aca="false">ROUND((Assumptions!$B$11-Assumptions!$B$12)*Assumptions!E$20,0)</f>
        <v>160</v>
      </c>
      <c r="F72" s="33" t="n">
        <f aca="false">ROUND((Assumptions!$B$11-Assumptions!$B$12)*Assumptions!F$20,0)</f>
        <v>160</v>
      </c>
    </row>
    <row r="73" customFormat="false" ht="15" hidden="false" customHeight="false" outlineLevel="0" collapsed="false">
      <c r="A73" s="10" t="s">
        <v>172</v>
      </c>
      <c r="B73" s="33" t="n">
        <f aca="false">0</f>
        <v>0</v>
      </c>
      <c r="C73" s="33" t="n">
        <f aca="false">0</f>
        <v>0</v>
      </c>
      <c r="D73" s="33" t="n">
        <f aca="false">0</f>
        <v>0</v>
      </c>
      <c r="E73" s="33" t="n">
        <f aca="false">0</f>
        <v>0</v>
      </c>
      <c r="F73" s="33" t="n">
        <f aca="false">0</f>
        <v>0</v>
      </c>
    </row>
    <row r="74" customFormat="false" ht="15" hidden="false" customHeight="false" outlineLevel="0" collapsed="false">
      <c r="A74" s="10" t="s">
        <v>202</v>
      </c>
      <c r="B74" s="33" t="n">
        <f aca="false">B70*Assumptions!$B$13+B73*Assumptions!$B$55</f>
        <v>87000</v>
      </c>
      <c r="C74" s="33" t="n">
        <f aca="false">C70*Assumptions!$B$13+C73*Assumptions!$B$55</f>
        <v>285000</v>
      </c>
      <c r="D74" s="33" t="n">
        <f aca="false">D70*Assumptions!$B$13+D73*Assumptions!$B$55</f>
        <v>486000</v>
      </c>
      <c r="E74" s="33" t="n">
        <f aca="false">E70*Assumptions!$B$13+E73*Assumptions!$B$55</f>
        <v>570000</v>
      </c>
      <c r="F74" s="33" t="n">
        <f aca="false">F70*Assumptions!$B$13+F73*Assumptions!$B$55</f>
        <v>570000</v>
      </c>
    </row>
    <row r="75" customFormat="false" ht="15" hidden="false" customHeight="false" outlineLevel="0" collapsed="false">
      <c r="A75" s="10" t="s">
        <v>203</v>
      </c>
      <c r="B75" s="33" t="n">
        <f aca="false">B71*Assumptions!$B$14+B73*Assumptions!$B$54</f>
        <v>17500</v>
      </c>
      <c r="C75" s="33" t="n">
        <f aca="false">C71*Assumptions!$B$14+C73*Assumptions!$B$54</f>
        <v>52500</v>
      </c>
      <c r="D75" s="33" t="n">
        <f aca="false">D71*Assumptions!$B$14+D73*Assumptions!$B$54</f>
        <v>91000</v>
      </c>
      <c r="E75" s="33" t="n">
        <f aca="false">E71*Assumptions!$B$14+E73*Assumptions!$B$54</f>
        <v>105000</v>
      </c>
      <c r="F75" s="33" t="n">
        <f aca="false">F71*Assumptions!$B$14+F73*Assumptions!$B$54</f>
        <v>105000</v>
      </c>
    </row>
    <row r="76" customFormat="false" ht="15" hidden="false" customHeight="false" outlineLevel="0" collapsed="false">
      <c r="A76" s="10" t="s">
        <v>204</v>
      </c>
      <c r="B76" s="33" t="n">
        <f aca="false">SUM(B75:B75)</f>
        <v>17500</v>
      </c>
      <c r="C76" s="33" t="n">
        <f aca="false">SUM(B75:C75)</f>
        <v>70000</v>
      </c>
      <c r="D76" s="33" t="n">
        <f aca="false">SUM(B75:D75)</f>
        <v>161000</v>
      </c>
      <c r="E76" s="33" t="n">
        <f aca="false">SUM(B75:E75)</f>
        <v>266000</v>
      </c>
      <c r="F76" s="33" t="n">
        <f aca="false">SUM(C75:F75)</f>
        <v>353500</v>
      </c>
    </row>
    <row r="77" customFormat="false" ht="15" hidden="false" customHeight="false" outlineLevel="0" collapsed="false">
      <c r="A77" s="10" t="s">
        <v>205</v>
      </c>
      <c r="B77" s="34" t="n">
        <f aca="false">B72*Assumptions!$B$15*Assumptions!$B$24*Assumptions!$B$25*Assumptions!$B$8</f>
        <v>823200</v>
      </c>
      <c r="C77" s="34" t="n">
        <f aca="false">C72*Assumptions!$B$15*Assumptions!$B$24*Assumptions!$B$25*Assumptions!$B$8</f>
        <v>2744000</v>
      </c>
      <c r="D77" s="34" t="n">
        <f aca="false">D72*Assumptions!$B$15*Assumptions!$B$24*Assumptions!$B$25*Assumptions!$B$8</f>
        <v>4664800</v>
      </c>
      <c r="E77" s="34" t="n">
        <f aca="false">E72*Assumptions!$B$15*Assumptions!$B$24*Assumptions!$B$25*Assumptions!$B$8</f>
        <v>5488000</v>
      </c>
      <c r="F77" s="34" t="n">
        <f aca="false">F72*Assumptions!$B$15*Assumptions!$B$24*Assumptions!$B$25*Assumptions!$B$8</f>
        <v>5488000</v>
      </c>
    </row>
    <row r="78" customFormat="false" ht="15" hidden="false" customHeight="false" outlineLevel="0" collapsed="false">
      <c r="A78" s="10" t="s">
        <v>206</v>
      </c>
      <c r="B78" s="34" t="n">
        <f aca="false">B72*Assumptions!$B$13*Assumptions!$B$16*Assumptions!$B$26*Assumptions!$B$27*Assumptions!$B$28*Assumptions!$B$25*Assumptions!$B$8</f>
        <v>96768</v>
      </c>
      <c r="C78" s="34" t="n">
        <f aca="false">C72*Assumptions!$B$13*Assumptions!$B$16*Assumptions!$B$26*Assumptions!$B$27*Assumptions!$B$28*Assumptions!$B$25*Assumptions!$B$8</f>
        <v>322560</v>
      </c>
      <c r="D78" s="34" t="n">
        <f aca="false">D72*Assumptions!$B$13*Assumptions!$B$16*Assumptions!$B$26*Assumptions!$B$27*Assumptions!$B$28*Assumptions!$B$25*Assumptions!$B$8</f>
        <v>548352</v>
      </c>
      <c r="E78" s="34" t="n">
        <f aca="false">E72*Assumptions!$B$13*Assumptions!$B$16*Assumptions!$B$26*Assumptions!$B$27*Assumptions!$B$28*Assumptions!$B$25*Assumptions!$B$8</f>
        <v>645120</v>
      </c>
      <c r="F78" s="34" t="n">
        <f aca="false">F72*Assumptions!$B$13*Assumptions!$B$16*Assumptions!$B$26*Assumptions!$B$27*Assumptions!$B$28*Assumptions!$B$25*Assumptions!$B$8</f>
        <v>645120</v>
      </c>
    </row>
    <row r="79" customFormat="false" ht="15" hidden="false" customHeight="false" outlineLevel="0" collapsed="false">
      <c r="A79" s="10" t="s">
        <v>207</v>
      </c>
      <c r="B79" s="34" t="n">
        <f aca="false">B71*Assumptions!$B$29*Assumptions!$B$30*Assumptions!$B$31*Assumptions!$B$25*Assumptions!$B$8</f>
        <v>44100</v>
      </c>
      <c r="C79" s="34" t="n">
        <f aca="false">C71*Assumptions!$B$29*Assumptions!$B$30*Assumptions!$B$31*Assumptions!$B$25*Assumptions!$B$8</f>
        <v>132300</v>
      </c>
      <c r="D79" s="34" t="n">
        <f aca="false">D71*Assumptions!$B$29*Assumptions!$B$30*Assumptions!$B$31*Assumptions!$B$25*Assumptions!$B$8</f>
        <v>229320</v>
      </c>
      <c r="E79" s="34" t="n">
        <f aca="false">E71*Assumptions!$B$29*Assumptions!$B$30*Assumptions!$B$31*Assumptions!$B$25*Assumptions!$B$8</f>
        <v>264600</v>
      </c>
      <c r="F79" s="34" t="n">
        <f aca="false">F71*Assumptions!$B$29*Assumptions!$B$30*Assumptions!$B$31*Assumptions!$B$25*Assumptions!$B$8</f>
        <v>264600</v>
      </c>
    </row>
    <row r="80" customFormat="false" ht="15" hidden="false" customHeight="false" outlineLevel="0" collapsed="false">
      <c r="A80" s="10" t="s">
        <v>208</v>
      </c>
      <c r="B80" s="34" t="n">
        <f aca="false">B70*Assumptions!$B$32*Assumptions!$B$8</f>
        <v>0</v>
      </c>
      <c r="C80" s="34" t="n">
        <f aca="false">C70*Assumptions!$B$32*Assumptions!$B$8</f>
        <v>0</v>
      </c>
      <c r="D80" s="34" t="n">
        <f aca="false">D70*Assumptions!$B$32*Assumptions!$B$8</f>
        <v>0</v>
      </c>
      <c r="E80" s="34" t="n">
        <f aca="false">E70*Assumptions!$B$32*Assumptions!$B$8</f>
        <v>0</v>
      </c>
      <c r="F80" s="34" t="n">
        <f aca="false">F70*Assumptions!$B$32*Assumptions!$B$8</f>
        <v>0</v>
      </c>
    </row>
    <row r="81" customFormat="false" ht="15" hidden="false" customHeight="false" outlineLevel="0" collapsed="false">
      <c r="A81" s="12" t="s">
        <v>209</v>
      </c>
      <c r="B81" s="35" t="n">
        <f aca="false">SUM(B77:B80)</f>
        <v>964068</v>
      </c>
      <c r="C81" s="35" t="n">
        <f aca="false">SUM(C77:C80)</f>
        <v>3198860</v>
      </c>
      <c r="D81" s="35" t="n">
        <f aca="false">SUM(D77:D80)</f>
        <v>5442472</v>
      </c>
      <c r="E81" s="35" t="n">
        <f aca="false">SUM(E77:E80)</f>
        <v>6397720</v>
      </c>
      <c r="F81" s="35" t="n">
        <f aca="false">SUM(F77:F80)</f>
        <v>6397720</v>
      </c>
    </row>
    <row r="82" customFormat="false" ht="15" hidden="false" customHeight="false" outlineLevel="0" collapsed="false">
      <c r="A82" s="10" t="s">
        <v>210</v>
      </c>
      <c r="B82" s="34" t="n">
        <f aca="false">IF(B74&gt;=Assumptions!$B$37,Assumptions!B$45*Assumptions!$B$36*Assumptions!$C$8,0)</f>
        <v>0</v>
      </c>
      <c r="C82" s="34" t="n">
        <f aca="false">IF(C74&gt;=Assumptions!$B$37,Assumptions!C$45*Assumptions!$B$36*Assumptions!$C$8,0)</f>
        <v>276000</v>
      </c>
      <c r="D82" s="34" t="n">
        <f aca="false">IF(D74&gt;=Assumptions!$B$37,Assumptions!D$45*Assumptions!$B$36*Assumptions!$C$8,0)</f>
        <v>414000</v>
      </c>
      <c r="E82" s="34" t="n">
        <f aca="false">IF(E74&gt;=Assumptions!$B$37,Assumptions!E$45*Assumptions!$B$36*Assumptions!$C$8,0)</f>
        <v>690000</v>
      </c>
      <c r="F82" s="34" t="n">
        <f aca="false">IF(F74&gt;=Assumptions!$B$37,Assumptions!F$45*Assumptions!$B$36*Assumptions!$C$8,0)</f>
        <v>828000</v>
      </c>
    </row>
    <row r="83" customFormat="false" ht="15" hidden="false" customHeight="false" outlineLevel="0" collapsed="false">
      <c r="A83" s="10" t="s">
        <v>211</v>
      </c>
      <c r="B83" s="34" t="n">
        <f aca="false">Assumptions!B$46*Assumptions!$B$38*Assumptions!$C$8</f>
        <v>46000</v>
      </c>
      <c r="C83" s="34" t="n">
        <f aca="false">Assumptions!C$46*Assumptions!$B$38*Assumptions!$C$8</f>
        <v>138000</v>
      </c>
      <c r="D83" s="34" t="n">
        <f aca="false">Assumptions!D$46*Assumptions!$B$38*Assumptions!$C$8</f>
        <v>184000</v>
      </c>
      <c r="E83" s="34" t="n">
        <f aca="false">Assumptions!E$46*Assumptions!$B$38*Assumptions!$C$8</f>
        <v>230000</v>
      </c>
      <c r="F83" s="34" t="n">
        <f aca="false">Assumptions!F$46*Assumptions!$B$38*Assumptions!$C$8</f>
        <v>276000</v>
      </c>
    </row>
    <row r="84" customFormat="false" ht="15" hidden="false" customHeight="false" outlineLevel="0" collapsed="false">
      <c r="A84" s="10" t="s">
        <v>212</v>
      </c>
      <c r="B84" s="34" t="n">
        <f aca="false">IF(B76&gt;=Assumptions!$B$40,Assumptions!B$47*Assumptions!$B$39*Assumptions!$C$8,0)</f>
        <v>0</v>
      </c>
      <c r="C84" s="34" t="n">
        <f aca="false">IF(C76&gt;=Assumptions!$B$40,Assumptions!C$47*Assumptions!$B$39*Assumptions!$C$8,0)</f>
        <v>0</v>
      </c>
      <c r="D84" s="34" t="n">
        <f aca="false">IF(D76&gt;=Assumptions!$B$40,Assumptions!D$47*Assumptions!$B$39*Assumptions!$C$8,0)</f>
        <v>0</v>
      </c>
      <c r="E84" s="34" t="n">
        <f aca="false">IF(E76&gt;=Assumptions!$B$40,Assumptions!E$47*Assumptions!$B$39*Assumptions!$C$8,0)</f>
        <v>0</v>
      </c>
      <c r="F84" s="34" t="n">
        <f aca="false">IF(F76&gt;=Assumptions!$B$40,Assumptions!F$47*Assumptions!$B$39*Assumptions!$C$8,0)</f>
        <v>0</v>
      </c>
    </row>
    <row r="85" customFormat="false" ht="15" hidden="false" customHeight="false" outlineLevel="0" collapsed="false">
      <c r="A85" s="10" t="s">
        <v>213</v>
      </c>
      <c r="B85" s="34" t="n">
        <f aca="false">IF(B76&gt;=Assumptions!$B$41,Assumptions!B$48*Assumptions!$B$39*Assumptions!$C$8,0)</f>
        <v>0</v>
      </c>
      <c r="C85" s="34" t="n">
        <f aca="false">IF(C76&gt;=Assumptions!$B$41,Assumptions!C$48*Assumptions!$B$39*Assumptions!$C$8,0)</f>
        <v>0</v>
      </c>
      <c r="D85" s="34" t="n">
        <f aca="false">IF(D76&gt;=Assumptions!$B$41,Assumptions!D$48*Assumptions!$B$39*Assumptions!$C$8,0)</f>
        <v>0</v>
      </c>
      <c r="E85" s="34" t="n">
        <f aca="false">IF(E76&gt;=Assumptions!$B$41,Assumptions!E$48*Assumptions!$B$39*Assumptions!$C$8,0)</f>
        <v>0</v>
      </c>
      <c r="F85" s="34" t="n">
        <f aca="false">IF(F76&gt;=Assumptions!$B$41,Assumptions!F$48*Assumptions!$B$39*Assumptions!$C$8,0)</f>
        <v>0</v>
      </c>
    </row>
    <row r="86" customFormat="false" ht="15" hidden="false" customHeight="false" outlineLevel="0" collapsed="false">
      <c r="A86" s="10" t="s">
        <v>214</v>
      </c>
      <c r="B86" s="34" t="n">
        <f aca="false">B73*Assumptions!$B$56*Assumptions!$B$57*Assumptions!$C$8</f>
        <v>0</v>
      </c>
      <c r="C86" s="34" t="n">
        <f aca="false">C73*Assumptions!$B$56*Assumptions!$B$57*Assumptions!$C$8</f>
        <v>0</v>
      </c>
      <c r="D86" s="34" t="n">
        <f aca="false">D73*Assumptions!$B$56*Assumptions!$B$57*Assumptions!$C$8</f>
        <v>0</v>
      </c>
      <c r="E86" s="34" t="n">
        <f aca="false">E73*Assumptions!$B$56*Assumptions!$B$57*Assumptions!$C$8</f>
        <v>0</v>
      </c>
      <c r="F86" s="34" t="n">
        <f aca="false">F73*Assumptions!$B$56*Assumptions!$B$57*Assumptions!$C$8</f>
        <v>0</v>
      </c>
    </row>
    <row r="87" customFormat="false" ht="15" hidden="false" customHeight="false" outlineLevel="0" collapsed="false">
      <c r="A87" s="12" t="s">
        <v>215</v>
      </c>
      <c r="B87" s="35" t="n">
        <f aca="false">SUM(B82:B86)</f>
        <v>46000</v>
      </c>
      <c r="C87" s="35" t="n">
        <f aca="false">SUM(C82:C86)</f>
        <v>414000</v>
      </c>
      <c r="D87" s="35" t="n">
        <f aca="false">SUM(D82:D86)</f>
        <v>598000</v>
      </c>
      <c r="E87" s="35" t="n">
        <f aca="false">SUM(E82:E86)</f>
        <v>920000</v>
      </c>
      <c r="F87" s="35" t="n">
        <f aca="false">SUM(F82:F86)</f>
        <v>1104000</v>
      </c>
    </row>
    <row r="88" customFormat="false" ht="15" hidden="false" customHeight="false" outlineLevel="0" collapsed="false">
      <c r="A88" s="10" t="s">
        <v>216</v>
      </c>
      <c r="B88" s="34" t="n">
        <f aca="false">Assumptions!B$76*Assumptions!$B$69</f>
        <v>1000000</v>
      </c>
      <c r="C88" s="34" t="n">
        <f aca="false">Assumptions!C$76*Assumptions!$B$69</f>
        <v>1600000</v>
      </c>
      <c r="D88" s="34" t="n">
        <f aca="false">Assumptions!D$76*Assumptions!$B$69</f>
        <v>2000000</v>
      </c>
      <c r="E88" s="34" t="n">
        <f aca="false">Assumptions!E$76*Assumptions!$B$69</f>
        <v>2200000</v>
      </c>
      <c r="F88" s="34" t="n">
        <f aca="false">Assumptions!F$76*Assumptions!$B$69</f>
        <v>2400000</v>
      </c>
    </row>
    <row r="89" customFormat="false" ht="15" hidden="false" customHeight="false" outlineLevel="0" collapsed="false">
      <c r="A89" s="10" t="s">
        <v>217</v>
      </c>
      <c r="B89" s="34" t="n">
        <f aca="false">B70*Assumptions!$B$70</f>
        <v>435000</v>
      </c>
      <c r="C89" s="34" t="n">
        <f aca="false">MAX(0,C70-B70)*Assumptions!$B$70</f>
        <v>990000</v>
      </c>
      <c r="D89" s="34" t="n">
        <f aca="false">MAX(0,D70-C70)*Assumptions!$B$70</f>
        <v>1005000</v>
      </c>
      <c r="E89" s="34" t="n">
        <f aca="false">MAX(0,E70-D70)*Assumptions!$B$70</f>
        <v>420000</v>
      </c>
      <c r="F89" s="34" t="n">
        <f aca="false">MAX(0,F70-E70)*Assumptions!$B$70</f>
        <v>0</v>
      </c>
    </row>
    <row r="90" customFormat="false" ht="15" hidden="false" customHeight="false" outlineLevel="0" collapsed="false">
      <c r="A90" s="10" t="s">
        <v>218</v>
      </c>
      <c r="B90" s="34" t="n">
        <f aca="false">Assumptions!$B$71+(B70+B73)*Assumptions!$B$72</f>
        <v>167400</v>
      </c>
      <c r="C90" s="34" t="n">
        <f aca="false">Assumptions!$B$71+(C70+C73)*Assumptions!$B$72</f>
        <v>207000</v>
      </c>
      <c r="D90" s="34" t="n">
        <f aca="false">Assumptions!$B$71+(D70+D73)*Assumptions!$B$72</f>
        <v>247200</v>
      </c>
      <c r="E90" s="34" t="n">
        <f aca="false">Assumptions!$B$71+(E70+E73)*Assumptions!$B$72</f>
        <v>264000</v>
      </c>
      <c r="F90" s="34" t="n">
        <f aca="false">Assumptions!$B$71+(F70+F73)*Assumptions!$B$72</f>
        <v>264000</v>
      </c>
    </row>
    <row r="91" customFormat="false" ht="15" hidden="false" customHeight="false" outlineLevel="0" collapsed="false">
      <c r="A91" s="10" t="s">
        <v>219</v>
      </c>
      <c r="B91" s="34" t="n">
        <f aca="false">Assumptions!$B$73</f>
        <v>150000</v>
      </c>
      <c r="C91" s="34" t="n">
        <f aca="false">Assumptions!$B$73</f>
        <v>150000</v>
      </c>
      <c r="D91" s="34" t="n">
        <f aca="false">Assumptions!$B$73</f>
        <v>150000</v>
      </c>
      <c r="E91" s="34" t="n">
        <f aca="false">Assumptions!$B$73</f>
        <v>150000</v>
      </c>
      <c r="F91" s="34" t="n">
        <f aca="false">Assumptions!$B$73</f>
        <v>150000</v>
      </c>
    </row>
    <row r="92" customFormat="false" ht="15" hidden="false" customHeight="false" outlineLevel="0" collapsed="false">
      <c r="A92" s="10" t="s">
        <v>220</v>
      </c>
      <c r="B92" s="34" t="n">
        <f aca="false">(B84+B85)*Assumptions!$B$42</f>
        <v>0</v>
      </c>
      <c r="C92" s="34" t="n">
        <f aca="false">(C84+C85)*Assumptions!$B$42</f>
        <v>0</v>
      </c>
      <c r="D92" s="34" t="n">
        <f aca="false">(D84+D85)*Assumptions!$B$42</f>
        <v>0</v>
      </c>
      <c r="E92" s="34" t="n">
        <f aca="false">(E84+E85)*Assumptions!$B$42</f>
        <v>0</v>
      </c>
      <c r="F92" s="34" t="n">
        <f aca="false">(F84+F85)*Assumptions!$B$42</f>
        <v>0</v>
      </c>
    </row>
    <row r="93" customFormat="false" ht="15" hidden="false" customHeight="false" outlineLevel="0" collapsed="false">
      <c r="A93" s="10" t="s">
        <v>221</v>
      </c>
      <c r="B93" s="34" t="n">
        <f aca="false">B73*Assumptions!$B$52</f>
        <v>0</v>
      </c>
      <c r="C93" s="34" t="n">
        <f aca="false">C73*Assumptions!$B$52</f>
        <v>0</v>
      </c>
      <c r="D93" s="34" t="n">
        <f aca="false">D73*Assumptions!$B$52</f>
        <v>0</v>
      </c>
      <c r="E93" s="34" t="n">
        <f aca="false">E73*Assumptions!$B$52</f>
        <v>0</v>
      </c>
      <c r="F93" s="34" t="n">
        <f aca="false">F73*Assumptions!$B$52</f>
        <v>0</v>
      </c>
    </row>
    <row r="94" customFormat="false" ht="15" hidden="false" customHeight="false" outlineLevel="0" collapsed="false">
      <c r="A94" s="10" t="s">
        <v>222</v>
      </c>
      <c r="B94" s="34" t="n">
        <f aca="false">B73*Assumptions!$B$53</f>
        <v>0</v>
      </c>
      <c r="C94" s="34" t="n">
        <f aca="false">MAX(0,C73-B73)*Assumptions!$B$53</f>
        <v>0</v>
      </c>
      <c r="D94" s="34" t="n">
        <f aca="false">MAX(0,D73-C73)*Assumptions!$B$53</f>
        <v>0</v>
      </c>
      <c r="E94" s="34" t="n">
        <f aca="false">MAX(0,E73-D73)*Assumptions!$B$53</f>
        <v>0</v>
      </c>
      <c r="F94" s="34" t="n">
        <f aca="false">MAX(0,F73-E73)*Assumptions!$B$53</f>
        <v>0</v>
      </c>
    </row>
    <row r="95" customFormat="false" ht="15" hidden="false" customHeight="false" outlineLevel="0" collapsed="false">
      <c r="A95" s="12" t="s">
        <v>223</v>
      </c>
      <c r="B95" s="35" t="n">
        <f aca="false">SUM(B88:B94)</f>
        <v>1752400</v>
      </c>
      <c r="C95" s="35" t="n">
        <f aca="false">SUM(C88:C94)</f>
        <v>2947000</v>
      </c>
      <c r="D95" s="35" t="n">
        <f aca="false">SUM(D88:D94)</f>
        <v>3402200</v>
      </c>
      <c r="E95" s="35" t="n">
        <f aca="false">SUM(E88:E94)</f>
        <v>3034000</v>
      </c>
      <c r="F95" s="35" t="n">
        <f aca="false">SUM(F88:F94)</f>
        <v>2814000</v>
      </c>
    </row>
    <row r="96" customFormat="false" ht="15" hidden="false" customHeight="false" outlineLevel="0" collapsed="false">
      <c r="A96" s="12" t="s">
        <v>224</v>
      </c>
      <c r="B96" s="35" t="n">
        <f aca="false">B81+B87-B95</f>
        <v>-742332</v>
      </c>
      <c r="C96" s="35" t="n">
        <f aca="false">C81+C87-C95</f>
        <v>665860</v>
      </c>
      <c r="D96" s="35" t="n">
        <f aca="false">D81+D87-D95</f>
        <v>2638272</v>
      </c>
      <c r="E96" s="35" t="n">
        <f aca="false">E81+E87-E95</f>
        <v>4283720</v>
      </c>
      <c r="F96" s="35" t="n">
        <f aca="false">F81+F87-F95</f>
        <v>4687720</v>
      </c>
    </row>
    <row r="97" customFormat="false" ht="15" hidden="false" customHeight="false" outlineLevel="0" collapsed="false">
      <c r="A97" s="10" t="s">
        <v>225</v>
      </c>
      <c r="B97" s="34" t="n">
        <f aca="false">B96</f>
        <v>-742332</v>
      </c>
      <c r="C97" s="34" t="n">
        <f aca="false">B97+C96</f>
        <v>-76472</v>
      </c>
      <c r="D97" s="34" t="n">
        <f aca="false">C97+D96</f>
        <v>2561800</v>
      </c>
      <c r="E97" s="34" t="n">
        <f aca="false">D97+E96</f>
        <v>6845520</v>
      </c>
      <c r="F97" s="34" t="n">
        <f aca="false">E97+F96</f>
        <v>11533240</v>
      </c>
    </row>
    <row r="98" customFormat="false" ht="15" hidden="false" customHeight="false" outlineLevel="0" collapsed="false">
      <c r="A98" s="10" t="s">
        <v>226</v>
      </c>
      <c r="B98" s="33" t="n">
        <f aca="false">IF(B97&gt;0,1,99)</f>
        <v>99</v>
      </c>
      <c r="C98" s="33" t="n">
        <f aca="false">IF(C97&gt;0,2,99)</f>
        <v>99</v>
      </c>
      <c r="D98" s="33" t="n">
        <f aca="false">IF(D97&gt;0,3,99)</f>
        <v>3</v>
      </c>
      <c r="E98" s="33" t="n">
        <f aca="false">IF(E97&gt;0,4,99)</f>
        <v>4</v>
      </c>
      <c r="F98" s="33" t="n">
        <f aca="false">IF(F97&gt;0,5,99)</f>
        <v>5</v>
      </c>
    </row>
    <row r="100" customFormat="false" ht="15" hidden="false" customHeight="false" outlineLevel="0" collapsed="false">
      <c r="A100" s="19" t="s">
        <v>229</v>
      </c>
      <c r="B100" s="20"/>
      <c r="C100" s="20"/>
      <c r="D100" s="20"/>
      <c r="E100" s="20"/>
      <c r="F100" s="20"/>
    </row>
    <row r="101" customFormat="false" ht="15" hidden="false" customHeight="false" outlineLevel="0" collapsed="false">
      <c r="A101" s="8" t="s">
        <v>198</v>
      </c>
      <c r="B101" s="9" t="s">
        <v>112</v>
      </c>
      <c r="C101" s="9" t="s">
        <v>113</v>
      </c>
      <c r="D101" s="9" t="s">
        <v>114</v>
      </c>
      <c r="E101" s="9" t="s">
        <v>115</v>
      </c>
      <c r="F101" s="9" t="s">
        <v>116</v>
      </c>
    </row>
    <row r="102" customFormat="false" ht="15" hidden="false" customHeight="false" outlineLevel="0" collapsed="false">
      <c r="A102" s="10" t="s">
        <v>199</v>
      </c>
      <c r="B102" s="33" t="n">
        <f aca="false">ROUND(Assumptions!$B$11*Assumptions!B$20,0)</f>
        <v>29</v>
      </c>
      <c r="C102" s="33" t="n">
        <f aca="false">ROUND(Assumptions!$B$11*Assumptions!C$20,0)</f>
        <v>95</v>
      </c>
      <c r="D102" s="33" t="n">
        <f aca="false">ROUND(Assumptions!$B$11*Assumptions!D$20,0)</f>
        <v>162</v>
      </c>
      <c r="E102" s="33" t="n">
        <f aca="false">ROUND(Assumptions!$B$11*Assumptions!E$20,0)</f>
        <v>190</v>
      </c>
      <c r="F102" s="33" t="n">
        <f aca="false">ROUND(Assumptions!$B$11*Assumptions!F$20,0)</f>
        <v>190</v>
      </c>
    </row>
    <row r="103" customFormat="false" ht="15" hidden="false" customHeight="false" outlineLevel="0" collapsed="false">
      <c r="A103" s="10" t="s">
        <v>200</v>
      </c>
      <c r="B103" s="33" t="n">
        <f aca="false">ROUND(Assumptions!$B$12*Assumptions!B$20,0)</f>
        <v>5</v>
      </c>
      <c r="C103" s="33" t="n">
        <f aca="false">ROUND(Assumptions!$B$12*Assumptions!C$20,0)</f>
        <v>15</v>
      </c>
      <c r="D103" s="33" t="n">
        <f aca="false">ROUND(Assumptions!$B$12*Assumptions!D$20,0)</f>
        <v>26</v>
      </c>
      <c r="E103" s="33" t="n">
        <f aca="false">ROUND(Assumptions!$B$12*Assumptions!E$20,0)</f>
        <v>30</v>
      </c>
      <c r="F103" s="33" t="n">
        <f aca="false">ROUND(Assumptions!$B$12*Assumptions!F$20,0)</f>
        <v>30</v>
      </c>
    </row>
    <row r="104" customFormat="false" ht="15" hidden="false" customHeight="false" outlineLevel="0" collapsed="false">
      <c r="A104" s="10" t="s">
        <v>201</v>
      </c>
      <c r="B104" s="33" t="n">
        <f aca="false">ROUND((Assumptions!$B$11-Assumptions!$B$12)*Assumptions!B$20,0)</f>
        <v>24</v>
      </c>
      <c r="C104" s="33" t="n">
        <f aca="false">ROUND((Assumptions!$B$11-Assumptions!$B$12)*Assumptions!C$20,0)</f>
        <v>80</v>
      </c>
      <c r="D104" s="33" t="n">
        <f aca="false">ROUND((Assumptions!$B$11-Assumptions!$B$12)*Assumptions!D$20,0)</f>
        <v>136</v>
      </c>
      <c r="E104" s="33" t="n">
        <f aca="false">ROUND((Assumptions!$B$11-Assumptions!$B$12)*Assumptions!E$20,0)</f>
        <v>160</v>
      </c>
      <c r="F104" s="33" t="n">
        <f aca="false">ROUND((Assumptions!$B$11-Assumptions!$B$12)*Assumptions!F$20,0)</f>
        <v>160</v>
      </c>
    </row>
    <row r="105" customFormat="false" ht="15" hidden="false" customHeight="false" outlineLevel="0" collapsed="false">
      <c r="A105" s="10" t="s">
        <v>172</v>
      </c>
      <c r="B105" s="33" t="n">
        <f aca="false">Assumptions!B$60</f>
        <v>0</v>
      </c>
      <c r="C105" s="33" t="n">
        <f aca="false">Assumptions!C$60</f>
        <v>40</v>
      </c>
      <c r="D105" s="33" t="n">
        <f aca="false">Assumptions!D$60</f>
        <v>80</v>
      </c>
      <c r="E105" s="33" t="n">
        <f aca="false">Assumptions!E$60</f>
        <v>100</v>
      </c>
      <c r="F105" s="33" t="n">
        <f aca="false">Assumptions!F$60</f>
        <v>100</v>
      </c>
    </row>
    <row r="106" customFormat="false" ht="15" hidden="false" customHeight="false" outlineLevel="0" collapsed="false">
      <c r="A106" s="10" t="s">
        <v>202</v>
      </c>
      <c r="B106" s="33" t="n">
        <f aca="false">B102*Assumptions!$B$13+B105*Assumptions!$B$55</f>
        <v>87000</v>
      </c>
      <c r="C106" s="33" t="n">
        <f aca="false">C102*Assumptions!$B$13+C105*Assumptions!$B$55</f>
        <v>405000</v>
      </c>
      <c r="D106" s="33" t="n">
        <f aca="false">D102*Assumptions!$B$13+D105*Assumptions!$B$55</f>
        <v>726000</v>
      </c>
      <c r="E106" s="33" t="n">
        <f aca="false">E102*Assumptions!$B$13+E105*Assumptions!$B$55</f>
        <v>870000</v>
      </c>
      <c r="F106" s="33" t="n">
        <f aca="false">F102*Assumptions!$B$13+F105*Assumptions!$B$55</f>
        <v>870000</v>
      </c>
    </row>
    <row r="107" customFormat="false" ht="15" hidden="false" customHeight="false" outlineLevel="0" collapsed="false">
      <c r="A107" s="10" t="s">
        <v>203</v>
      </c>
      <c r="B107" s="33" t="n">
        <f aca="false">B103*Assumptions!$B$14+B105*Assumptions!$B$54</f>
        <v>17500</v>
      </c>
      <c r="C107" s="33" t="n">
        <f aca="false">C103*Assumptions!$B$14+C105*Assumptions!$B$54</f>
        <v>192500</v>
      </c>
      <c r="D107" s="33" t="n">
        <f aca="false">D103*Assumptions!$B$14+D105*Assumptions!$B$54</f>
        <v>371000</v>
      </c>
      <c r="E107" s="33" t="n">
        <f aca="false">E103*Assumptions!$B$14+E105*Assumptions!$B$54</f>
        <v>455000</v>
      </c>
      <c r="F107" s="33" t="n">
        <f aca="false">F103*Assumptions!$B$14+F105*Assumptions!$B$54</f>
        <v>455000</v>
      </c>
    </row>
    <row r="108" customFormat="false" ht="15" hidden="false" customHeight="false" outlineLevel="0" collapsed="false">
      <c r="A108" s="10" t="s">
        <v>204</v>
      </c>
      <c r="B108" s="33" t="n">
        <f aca="false">SUM(B107:B107)</f>
        <v>17500</v>
      </c>
      <c r="C108" s="33" t="n">
        <f aca="false">SUM(B107:C107)</f>
        <v>210000</v>
      </c>
      <c r="D108" s="33" t="n">
        <f aca="false">SUM(B107:D107)</f>
        <v>581000</v>
      </c>
      <c r="E108" s="33" t="n">
        <f aca="false">SUM(B107:E107)</f>
        <v>1036000</v>
      </c>
      <c r="F108" s="33" t="n">
        <f aca="false">SUM(C107:F107)</f>
        <v>1473500</v>
      </c>
    </row>
    <row r="109" customFormat="false" ht="15" hidden="false" customHeight="false" outlineLevel="0" collapsed="false">
      <c r="A109" s="10" t="s">
        <v>205</v>
      </c>
      <c r="B109" s="34" t="n">
        <f aca="false">B104*Assumptions!$B$15*Assumptions!$B$24*Assumptions!$B$25*Assumptions!$B$6</f>
        <v>294000</v>
      </c>
      <c r="C109" s="34" t="n">
        <f aca="false">C104*Assumptions!$B$15*Assumptions!$B$24*Assumptions!$B$25*Assumptions!$B$6</f>
        <v>980000</v>
      </c>
      <c r="D109" s="34" t="n">
        <f aca="false">D104*Assumptions!$B$15*Assumptions!$B$24*Assumptions!$B$25*Assumptions!$B$6</f>
        <v>1666000</v>
      </c>
      <c r="E109" s="34" t="n">
        <f aca="false">E104*Assumptions!$B$15*Assumptions!$B$24*Assumptions!$B$25*Assumptions!$B$6</f>
        <v>1960000</v>
      </c>
      <c r="F109" s="34" t="n">
        <f aca="false">F104*Assumptions!$B$15*Assumptions!$B$24*Assumptions!$B$25*Assumptions!$B$6</f>
        <v>1960000</v>
      </c>
    </row>
    <row r="110" customFormat="false" ht="15" hidden="false" customHeight="false" outlineLevel="0" collapsed="false">
      <c r="A110" s="10" t="s">
        <v>206</v>
      </c>
      <c r="B110" s="34" t="n">
        <f aca="false">B104*Assumptions!$B$13*Assumptions!$B$16*Assumptions!$B$26*Assumptions!$B$27*Assumptions!$B$28*Assumptions!$B$25*Assumptions!$B$6</f>
        <v>34560</v>
      </c>
      <c r="C110" s="34" t="n">
        <f aca="false">C104*Assumptions!$B$13*Assumptions!$B$16*Assumptions!$B$26*Assumptions!$B$27*Assumptions!$B$28*Assumptions!$B$25*Assumptions!$B$6</f>
        <v>115200</v>
      </c>
      <c r="D110" s="34" t="n">
        <f aca="false">D104*Assumptions!$B$13*Assumptions!$B$16*Assumptions!$B$26*Assumptions!$B$27*Assumptions!$B$28*Assumptions!$B$25*Assumptions!$B$6</f>
        <v>195840</v>
      </c>
      <c r="E110" s="34" t="n">
        <f aca="false">E104*Assumptions!$B$13*Assumptions!$B$16*Assumptions!$B$26*Assumptions!$B$27*Assumptions!$B$28*Assumptions!$B$25*Assumptions!$B$6</f>
        <v>230400</v>
      </c>
      <c r="F110" s="34" t="n">
        <f aca="false">F104*Assumptions!$B$13*Assumptions!$B$16*Assumptions!$B$26*Assumptions!$B$27*Assumptions!$B$28*Assumptions!$B$25*Assumptions!$B$6</f>
        <v>230400</v>
      </c>
    </row>
    <row r="111" customFormat="false" ht="15" hidden="false" customHeight="false" outlineLevel="0" collapsed="false">
      <c r="A111" s="10" t="s">
        <v>207</v>
      </c>
      <c r="B111" s="34" t="n">
        <f aca="false">B103*Assumptions!$B$29*Assumptions!$B$30*Assumptions!$B$31*Assumptions!$B$25*Assumptions!$B$6</f>
        <v>15750</v>
      </c>
      <c r="C111" s="34" t="n">
        <f aca="false">C103*Assumptions!$B$29*Assumptions!$B$30*Assumptions!$B$31*Assumptions!$B$25*Assumptions!$B$6</f>
        <v>47250</v>
      </c>
      <c r="D111" s="34" t="n">
        <f aca="false">D103*Assumptions!$B$29*Assumptions!$B$30*Assumptions!$B$31*Assumptions!$B$25*Assumptions!$B$6</f>
        <v>81900</v>
      </c>
      <c r="E111" s="34" t="n">
        <f aca="false">E103*Assumptions!$B$29*Assumptions!$B$30*Assumptions!$B$31*Assumptions!$B$25*Assumptions!$B$6</f>
        <v>94500</v>
      </c>
      <c r="F111" s="34" t="n">
        <f aca="false">F103*Assumptions!$B$29*Assumptions!$B$30*Assumptions!$B$31*Assumptions!$B$25*Assumptions!$B$6</f>
        <v>94500</v>
      </c>
    </row>
    <row r="112" customFormat="false" ht="15" hidden="false" customHeight="false" outlineLevel="0" collapsed="false">
      <c r="A112" s="10" t="s">
        <v>208</v>
      </c>
      <c r="B112" s="34" t="n">
        <f aca="false">B102*Assumptions!$B$32*Assumptions!$B$6</f>
        <v>0</v>
      </c>
      <c r="C112" s="34" t="n">
        <f aca="false">C102*Assumptions!$B$32*Assumptions!$B$6</f>
        <v>0</v>
      </c>
      <c r="D112" s="34" t="n">
        <f aca="false">D102*Assumptions!$B$32*Assumptions!$B$6</f>
        <v>0</v>
      </c>
      <c r="E112" s="34" t="n">
        <f aca="false">E102*Assumptions!$B$32*Assumptions!$B$6</f>
        <v>0</v>
      </c>
      <c r="F112" s="34" t="n">
        <f aca="false">F102*Assumptions!$B$32*Assumptions!$B$6</f>
        <v>0</v>
      </c>
    </row>
    <row r="113" customFormat="false" ht="15" hidden="false" customHeight="false" outlineLevel="0" collapsed="false">
      <c r="A113" s="12" t="s">
        <v>209</v>
      </c>
      <c r="B113" s="35" t="n">
        <f aca="false">SUM(B109:B112)</f>
        <v>344310</v>
      </c>
      <c r="C113" s="35" t="n">
        <f aca="false">SUM(C109:C112)</f>
        <v>1142450</v>
      </c>
      <c r="D113" s="35" t="n">
        <f aca="false">SUM(D109:D112)</f>
        <v>1943740</v>
      </c>
      <c r="E113" s="35" t="n">
        <f aca="false">SUM(E109:E112)</f>
        <v>2284900</v>
      </c>
      <c r="F113" s="35" t="n">
        <f aca="false">SUM(F109:F112)</f>
        <v>2284900</v>
      </c>
    </row>
    <row r="114" customFormat="false" ht="15" hidden="false" customHeight="false" outlineLevel="0" collapsed="false">
      <c r="A114" s="10" t="s">
        <v>210</v>
      </c>
      <c r="B114" s="34" t="n">
        <f aca="false">IF(B106&gt;=Assumptions!$B$37,Assumptions!B$62*Assumptions!$B$36*Assumptions!$C$6,0)</f>
        <v>0</v>
      </c>
      <c r="C114" s="34" t="n">
        <f aca="false">IF(C106&gt;=Assumptions!$B$37,Assumptions!C$62*Assumptions!$B$36*Assumptions!$C$6,0)</f>
        <v>192000</v>
      </c>
      <c r="D114" s="34" t="n">
        <f aca="false">IF(D106&gt;=Assumptions!$B$37,Assumptions!D$62*Assumptions!$B$36*Assumptions!$C$6,0)</f>
        <v>384000</v>
      </c>
      <c r="E114" s="34" t="n">
        <f aca="false">IF(E106&gt;=Assumptions!$B$37,Assumptions!E$62*Assumptions!$B$36*Assumptions!$C$6,0)</f>
        <v>480000</v>
      </c>
      <c r="F114" s="34" t="n">
        <f aca="false">IF(F106&gt;=Assumptions!$B$37,Assumptions!F$62*Assumptions!$B$36*Assumptions!$C$6,0)</f>
        <v>672000</v>
      </c>
    </row>
    <row r="115" customFormat="false" ht="15" hidden="false" customHeight="false" outlineLevel="0" collapsed="false">
      <c r="A115" s="10" t="s">
        <v>211</v>
      </c>
      <c r="B115" s="34" t="n">
        <f aca="false">Assumptions!B$63*Assumptions!$B$38*Assumptions!$C$6</f>
        <v>32000</v>
      </c>
      <c r="C115" s="34" t="n">
        <f aca="false">Assumptions!C$63*Assumptions!$B$38*Assumptions!$C$6</f>
        <v>96000</v>
      </c>
      <c r="D115" s="34" t="n">
        <f aca="false">Assumptions!D$63*Assumptions!$B$38*Assumptions!$C$6</f>
        <v>160000</v>
      </c>
      <c r="E115" s="34" t="n">
        <f aca="false">Assumptions!E$63*Assumptions!$B$38*Assumptions!$C$6</f>
        <v>192000</v>
      </c>
      <c r="F115" s="34" t="n">
        <f aca="false">Assumptions!F$63*Assumptions!$B$38*Assumptions!$C$6</f>
        <v>224000</v>
      </c>
    </row>
    <row r="116" customFormat="false" ht="15" hidden="false" customHeight="false" outlineLevel="0" collapsed="false">
      <c r="A116" s="10" t="s">
        <v>212</v>
      </c>
      <c r="B116" s="34" t="n">
        <f aca="false">IF(B108&gt;=Assumptions!$B$40,Assumptions!B$64*Assumptions!$B$39*Assumptions!$C$6,0)</f>
        <v>0</v>
      </c>
      <c r="C116" s="34" t="n">
        <f aca="false">IF(C108&gt;=Assumptions!$B$40,Assumptions!C$64*Assumptions!$B$39*Assumptions!$C$6,0)</f>
        <v>0</v>
      </c>
      <c r="D116" s="34" t="n">
        <f aca="false">IF(D108&gt;=Assumptions!$B$40,Assumptions!D$64*Assumptions!$B$39*Assumptions!$C$6,0)</f>
        <v>0</v>
      </c>
      <c r="E116" s="34" t="n">
        <f aca="false">IF(E108&gt;=Assumptions!$B$40,Assumptions!E$64*Assumptions!$B$39*Assumptions!$C$6,0)</f>
        <v>400000</v>
      </c>
      <c r="F116" s="34" t="n">
        <f aca="false">IF(F108&gt;=Assumptions!$B$40,Assumptions!F$64*Assumptions!$B$39*Assumptions!$C$6,0)</f>
        <v>600000</v>
      </c>
    </row>
    <row r="117" customFormat="false" ht="15" hidden="false" customHeight="false" outlineLevel="0" collapsed="false">
      <c r="A117" s="10" t="s">
        <v>213</v>
      </c>
      <c r="B117" s="34" t="n">
        <f aca="false">IF(B108&gt;=Assumptions!$B$41,Assumptions!B$65*Assumptions!$B$39*Assumptions!$C$6,0)</f>
        <v>0</v>
      </c>
      <c r="C117" s="34" t="n">
        <f aca="false">IF(C108&gt;=Assumptions!$B$41,Assumptions!C$65*Assumptions!$B$39*Assumptions!$C$6,0)</f>
        <v>0</v>
      </c>
      <c r="D117" s="34" t="n">
        <f aca="false">IF(D108&gt;=Assumptions!$B$41,Assumptions!D$65*Assumptions!$B$39*Assumptions!$C$6,0)</f>
        <v>0</v>
      </c>
      <c r="E117" s="34" t="n">
        <f aca="false">IF(E108&gt;=Assumptions!$B$41,Assumptions!E$65*Assumptions!$B$39*Assumptions!$C$6,0)</f>
        <v>0</v>
      </c>
      <c r="F117" s="34" t="n">
        <f aca="false">IF(F108&gt;=Assumptions!$B$41,Assumptions!F$65*Assumptions!$B$39*Assumptions!$C$6,0)</f>
        <v>400000</v>
      </c>
    </row>
    <row r="118" customFormat="false" ht="15" hidden="false" customHeight="false" outlineLevel="0" collapsed="false">
      <c r="A118" s="10" t="s">
        <v>214</v>
      </c>
      <c r="B118" s="34" t="n">
        <f aca="false">B105*Assumptions!$B$56*Assumptions!$B$57*Assumptions!$C$6</f>
        <v>0</v>
      </c>
      <c r="C118" s="34" t="n">
        <f aca="false">C105*Assumptions!$B$56*Assumptions!$B$57*Assumptions!$C$6</f>
        <v>23040</v>
      </c>
      <c r="D118" s="34" t="n">
        <f aca="false">D105*Assumptions!$B$56*Assumptions!$B$57*Assumptions!$C$6</f>
        <v>46080</v>
      </c>
      <c r="E118" s="34" t="n">
        <f aca="false">E105*Assumptions!$B$56*Assumptions!$B$57*Assumptions!$C$6</f>
        <v>57600</v>
      </c>
      <c r="F118" s="34" t="n">
        <f aca="false">F105*Assumptions!$B$56*Assumptions!$B$57*Assumptions!$C$6</f>
        <v>57600</v>
      </c>
    </row>
    <row r="119" customFormat="false" ht="15" hidden="false" customHeight="false" outlineLevel="0" collapsed="false">
      <c r="A119" s="12" t="s">
        <v>215</v>
      </c>
      <c r="B119" s="35" t="n">
        <f aca="false">SUM(B114:B118)</f>
        <v>32000</v>
      </c>
      <c r="C119" s="35" t="n">
        <f aca="false">SUM(C114:C118)</f>
        <v>311040</v>
      </c>
      <c r="D119" s="35" t="n">
        <f aca="false">SUM(D114:D118)</f>
        <v>590080</v>
      </c>
      <c r="E119" s="35" t="n">
        <f aca="false">SUM(E114:E118)</f>
        <v>1129600</v>
      </c>
      <c r="F119" s="35" t="n">
        <f aca="false">SUM(F114:F118)</f>
        <v>1953600</v>
      </c>
    </row>
    <row r="120" customFormat="false" ht="15" hidden="false" customHeight="false" outlineLevel="0" collapsed="false">
      <c r="A120" s="10" t="s">
        <v>216</v>
      </c>
      <c r="B120" s="34" t="n">
        <f aca="false">(Assumptions!B$76+Assumptions!B$61)*Assumptions!$B$69</f>
        <v>1000000</v>
      </c>
      <c r="C120" s="34" t="n">
        <f aca="false">(Assumptions!C$76+Assumptions!C$61)*Assumptions!$B$69</f>
        <v>1800000</v>
      </c>
      <c r="D120" s="34" t="n">
        <f aca="false">(Assumptions!D$76+Assumptions!D$61)*Assumptions!$B$69</f>
        <v>2200000</v>
      </c>
      <c r="E120" s="34" t="n">
        <f aca="false">(Assumptions!E$76+Assumptions!E$61)*Assumptions!$B$69</f>
        <v>2600000</v>
      </c>
      <c r="F120" s="34" t="n">
        <f aca="false">(Assumptions!F$76+Assumptions!F$61)*Assumptions!$B$69</f>
        <v>2800000</v>
      </c>
    </row>
    <row r="121" customFormat="false" ht="15" hidden="false" customHeight="false" outlineLevel="0" collapsed="false">
      <c r="A121" s="10" t="s">
        <v>217</v>
      </c>
      <c r="B121" s="34" t="n">
        <f aca="false">B102*Assumptions!$B$70</f>
        <v>435000</v>
      </c>
      <c r="C121" s="34" t="n">
        <f aca="false">MAX(0,C102-B102)*Assumptions!$B$70</f>
        <v>990000</v>
      </c>
      <c r="D121" s="34" t="n">
        <f aca="false">MAX(0,D102-C102)*Assumptions!$B$70</f>
        <v>1005000</v>
      </c>
      <c r="E121" s="34" t="n">
        <f aca="false">MAX(0,E102-D102)*Assumptions!$B$70</f>
        <v>420000</v>
      </c>
      <c r="F121" s="34" t="n">
        <f aca="false">MAX(0,F102-E102)*Assumptions!$B$70</f>
        <v>0</v>
      </c>
    </row>
    <row r="122" customFormat="false" ht="15" hidden="false" customHeight="false" outlineLevel="0" collapsed="false">
      <c r="A122" s="10" t="s">
        <v>218</v>
      </c>
      <c r="B122" s="34" t="n">
        <f aca="false">Assumptions!$B$71+(B102+B105)*Assumptions!$B$72</f>
        <v>167400</v>
      </c>
      <c r="C122" s="34" t="n">
        <f aca="false">Assumptions!$B$71+(C102+C105)*Assumptions!$B$72</f>
        <v>231000</v>
      </c>
      <c r="D122" s="34" t="n">
        <f aca="false">Assumptions!$B$71+(D102+D105)*Assumptions!$B$72</f>
        <v>295200</v>
      </c>
      <c r="E122" s="34" t="n">
        <f aca="false">Assumptions!$B$71+(E102+E105)*Assumptions!$B$72</f>
        <v>324000</v>
      </c>
      <c r="F122" s="34" t="n">
        <f aca="false">Assumptions!$B$71+(F102+F105)*Assumptions!$B$72</f>
        <v>324000</v>
      </c>
    </row>
    <row r="123" customFormat="false" ht="15" hidden="false" customHeight="false" outlineLevel="0" collapsed="false">
      <c r="A123" s="10" t="s">
        <v>219</v>
      </c>
      <c r="B123" s="34" t="n">
        <f aca="false">Assumptions!$B$73</f>
        <v>150000</v>
      </c>
      <c r="C123" s="34" t="n">
        <f aca="false">Assumptions!$B$73</f>
        <v>150000</v>
      </c>
      <c r="D123" s="34" t="n">
        <f aca="false">Assumptions!$B$73</f>
        <v>150000</v>
      </c>
      <c r="E123" s="34" t="n">
        <f aca="false">Assumptions!$B$73</f>
        <v>150000</v>
      </c>
      <c r="F123" s="34" t="n">
        <f aca="false">Assumptions!$B$73</f>
        <v>150000</v>
      </c>
    </row>
    <row r="124" customFormat="false" ht="15" hidden="false" customHeight="false" outlineLevel="0" collapsed="false">
      <c r="A124" s="10" t="s">
        <v>220</v>
      </c>
      <c r="B124" s="34" t="n">
        <f aca="false">(B116+B117)*Assumptions!$B$42</f>
        <v>0</v>
      </c>
      <c r="C124" s="34" t="n">
        <f aca="false">(C116+C117)*Assumptions!$B$42</f>
        <v>0</v>
      </c>
      <c r="D124" s="34" t="n">
        <f aca="false">(D116+D117)*Assumptions!$B$42</f>
        <v>0</v>
      </c>
      <c r="E124" s="34" t="n">
        <f aca="false">(E116+E117)*Assumptions!$B$42</f>
        <v>160000</v>
      </c>
      <c r="F124" s="34" t="n">
        <f aca="false">(F116+F117)*Assumptions!$B$42</f>
        <v>400000</v>
      </c>
    </row>
    <row r="125" customFormat="false" ht="15" hidden="false" customHeight="false" outlineLevel="0" collapsed="false">
      <c r="A125" s="10" t="s">
        <v>221</v>
      </c>
      <c r="B125" s="34" t="n">
        <f aca="false">B105*Assumptions!$B$52</f>
        <v>0</v>
      </c>
      <c r="C125" s="34" t="n">
        <f aca="false">C105*Assumptions!$B$52</f>
        <v>40000</v>
      </c>
      <c r="D125" s="34" t="n">
        <f aca="false">D105*Assumptions!$B$52</f>
        <v>80000</v>
      </c>
      <c r="E125" s="34" t="n">
        <f aca="false">E105*Assumptions!$B$52</f>
        <v>100000</v>
      </c>
      <c r="F125" s="34" t="n">
        <f aca="false">F105*Assumptions!$B$52</f>
        <v>100000</v>
      </c>
    </row>
    <row r="126" customFormat="false" ht="15" hidden="false" customHeight="false" outlineLevel="0" collapsed="false">
      <c r="A126" s="10" t="s">
        <v>222</v>
      </c>
      <c r="B126" s="34" t="n">
        <f aca="false">B105*Assumptions!$B$53</f>
        <v>0</v>
      </c>
      <c r="C126" s="34" t="n">
        <f aca="false">MAX(0,C105-B105)*Assumptions!$B$53</f>
        <v>80000</v>
      </c>
      <c r="D126" s="34" t="n">
        <f aca="false">MAX(0,D105-C105)*Assumptions!$B$53</f>
        <v>80000</v>
      </c>
      <c r="E126" s="34" t="n">
        <f aca="false">MAX(0,E105-D105)*Assumptions!$B$53</f>
        <v>40000</v>
      </c>
      <c r="F126" s="34" t="n">
        <f aca="false">MAX(0,F105-E105)*Assumptions!$B$53</f>
        <v>0</v>
      </c>
    </row>
    <row r="127" customFormat="false" ht="15" hidden="false" customHeight="false" outlineLevel="0" collapsed="false">
      <c r="A127" s="12" t="s">
        <v>223</v>
      </c>
      <c r="B127" s="35" t="n">
        <f aca="false">SUM(B120:B126)</f>
        <v>1752400</v>
      </c>
      <c r="C127" s="35" t="n">
        <f aca="false">SUM(C120:C126)</f>
        <v>3291000</v>
      </c>
      <c r="D127" s="35" t="n">
        <f aca="false">SUM(D120:D126)</f>
        <v>3810200</v>
      </c>
      <c r="E127" s="35" t="n">
        <f aca="false">SUM(E120:E126)</f>
        <v>3794000</v>
      </c>
      <c r="F127" s="35" t="n">
        <f aca="false">SUM(F120:F126)</f>
        <v>3774000</v>
      </c>
    </row>
    <row r="128" customFormat="false" ht="15" hidden="false" customHeight="false" outlineLevel="0" collapsed="false">
      <c r="A128" s="12" t="s">
        <v>224</v>
      </c>
      <c r="B128" s="35" t="n">
        <f aca="false">B113+B119-B127</f>
        <v>-1376090</v>
      </c>
      <c r="C128" s="35" t="n">
        <f aca="false">C113+C119-C127</f>
        <v>-1837510</v>
      </c>
      <c r="D128" s="35" t="n">
        <f aca="false">D113+D119-D127</f>
        <v>-1276380</v>
      </c>
      <c r="E128" s="35" t="n">
        <f aca="false">E113+E119-E127</f>
        <v>-379500</v>
      </c>
      <c r="F128" s="35" t="n">
        <f aca="false">F113+F119-F127</f>
        <v>464500</v>
      </c>
    </row>
    <row r="129" customFormat="false" ht="15" hidden="false" customHeight="false" outlineLevel="0" collapsed="false">
      <c r="A129" s="10" t="s">
        <v>225</v>
      </c>
      <c r="B129" s="34" t="n">
        <f aca="false">B128</f>
        <v>-1376090</v>
      </c>
      <c r="C129" s="34" t="n">
        <f aca="false">B129+C128</f>
        <v>-3213600</v>
      </c>
      <c r="D129" s="34" t="n">
        <f aca="false">C129+D128</f>
        <v>-4489980</v>
      </c>
      <c r="E129" s="34" t="n">
        <f aca="false">D129+E128</f>
        <v>-4869480</v>
      </c>
      <c r="F129" s="34" t="n">
        <f aca="false">E129+F128</f>
        <v>-4404980</v>
      </c>
    </row>
    <row r="130" customFormat="false" ht="15" hidden="false" customHeight="false" outlineLevel="0" collapsed="false">
      <c r="A130" s="10" t="s">
        <v>226</v>
      </c>
      <c r="B130" s="33" t="n">
        <f aca="false">IF(B129&gt;0,1,99)</f>
        <v>99</v>
      </c>
      <c r="C130" s="33" t="n">
        <f aca="false">IF(C129&gt;0,2,99)</f>
        <v>99</v>
      </c>
      <c r="D130" s="33" t="n">
        <f aca="false">IF(D129&gt;0,3,99)</f>
        <v>99</v>
      </c>
      <c r="E130" s="33" t="n">
        <f aca="false">IF(E129&gt;0,4,99)</f>
        <v>99</v>
      </c>
      <c r="F130" s="33" t="n">
        <f aca="false">IF(F129&gt;0,5,99)</f>
        <v>99</v>
      </c>
    </row>
    <row r="132" customFormat="false" ht="15" hidden="false" customHeight="false" outlineLevel="0" collapsed="false">
      <c r="A132" s="19" t="s">
        <v>230</v>
      </c>
      <c r="B132" s="20"/>
      <c r="C132" s="20"/>
      <c r="D132" s="20"/>
      <c r="E132" s="20"/>
      <c r="F132" s="20"/>
    </row>
    <row r="133" customFormat="false" ht="15" hidden="false" customHeight="false" outlineLevel="0" collapsed="false">
      <c r="A133" s="8" t="s">
        <v>198</v>
      </c>
      <c r="B133" s="9" t="s">
        <v>112</v>
      </c>
      <c r="C133" s="9" t="s">
        <v>113</v>
      </c>
      <c r="D133" s="9" t="s">
        <v>114</v>
      </c>
      <c r="E133" s="9" t="s">
        <v>115</v>
      </c>
      <c r="F133" s="9" t="s">
        <v>116</v>
      </c>
    </row>
    <row r="134" customFormat="false" ht="15" hidden="false" customHeight="false" outlineLevel="0" collapsed="false">
      <c r="A134" s="10" t="s">
        <v>199</v>
      </c>
      <c r="B134" s="33" t="n">
        <f aca="false">ROUND(Assumptions!$B$11*Assumptions!B$20,0)</f>
        <v>29</v>
      </c>
      <c r="C134" s="33" t="n">
        <f aca="false">ROUND(Assumptions!$B$11*Assumptions!C$20,0)</f>
        <v>95</v>
      </c>
      <c r="D134" s="33" t="n">
        <f aca="false">ROUND(Assumptions!$B$11*Assumptions!D$20,0)</f>
        <v>162</v>
      </c>
      <c r="E134" s="33" t="n">
        <f aca="false">ROUND(Assumptions!$B$11*Assumptions!E$20,0)</f>
        <v>190</v>
      </c>
      <c r="F134" s="33" t="n">
        <f aca="false">ROUND(Assumptions!$B$11*Assumptions!F$20,0)</f>
        <v>190</v>
      </c>
    </row>
    <row r="135" customFormat="false" ht="15" hidden="false" customHeight="false" outlineLevel="0" collapsed="false">
      <c r="A135" s="10" t="s">
        <v>200</v>
      </c>
      <c r="B135" s="33" t="n">
        <f aca="false">ROUND(Assumptions!$B$12*Assumptions!B$20,0)</f>
        <v>5</v>
      </c>
      <c r="C135" s="33" t="n">
        <f aca="false">ROUND(Assumptions!$B$12*Assumptions!C$20,0)</f>
        <v>15</v>
      </c>
      <c r="D135" s="33" t="n">
        <f aca="false">ROUND(Assumptions!$B$12*Assumptions!D$20,0)</f>
        <v>26</v>
      </c>
      <c r="E135" s="33" t="n">
        <f aca="false">ROUND(Assumptions!$B$12*Assumptions!E$20,0)</f>
        <v>30</v>
      </c>
      <c r="F135" s="33" t="n">
        <f aca="false">ROUND(Assumptions!$B$12*Assumptions!F$20,0)</f>
        <v>30</v>
      </c>
    </row>
    <row r="136" customFormat="false" ht="15" hidden="false" customHeight="false" outlineLevel="0" collapsed="false">
      <c r="A136" s="10" t="s">
        <v>201</v>
      </c>
      <c r="B136" s="33" t="n">
        <f aca="false">ROUND((Assumptions!$B$11-Assumptions!$B$12)*Assumptions!B$20,0)</f>
        <v>24</v>
      </c>
      <c r="C136" s="33" t="n">
        <f aca="false">ROUND((Assumptions!$B$11-Assumptions!$B$12)*Assumptions!C$20,0)</f>
        <v>80</v>
      </c>
      <c r="D136" s="33" t="n">
        <f aca="false">ROUND((Assumptions!$B$11-Assumptions!$B$12)*Assumptions!D$20,0)</f>
        <v>136</v>
      </c>
      <c r="E136" s="33" t="n">
        <f aca="false">ROUND((Assumptions!$B$11-Assumptions!$B$12)*Assumptions!E$20,0)</f>
        <v>160</v>
      </c>
      <c r="F136" s="33" t="n">
        <f aca="false">ROUND((Assumptions!$B$11-Assumptions!$B$12)*Assumptions!F$20,0)</f>
        <v>160</v>
      </c>
    </row>
    <row r="137" customFormat="false" ht="15" hidden="false" customHeight="false" outlineLevel="0" collapsed="false">
      <c r="A137" s="10" t="s">
        <v>172</v>
      </c>
      <c r="B137" s="33" t="n">
        <f aca="false">Assumptions!B$60</f>
        <v>0</v>
      </c>
      <c r="C137" s="33" t="n">
        <f aca="false">Assumptions!C$60</f>
        <v>40</v>
      </c>
      <c r="D137" s="33" t="n">
        <f aca="false">Assumptions!D$60</f>
        <v>80</v>
      </c>
      <c r="E137" s="33" t="n">
        <f aca="false">Assumptions!E$60</f>
        <v>100</v>
      </c>
      <c r="F137" s="33" t="n">
        <f aca="false">Assumptions!F$60</f>
        <v>100</v>
      </c>
    </row>
    <row r="138" customFormat="false" ht="15" hidden="false" customHeight="false" outlineLevel="0" collapsed="false">
      <c r="A138" s="10" t="s">
        <v>202</v>
      </c>
      <c r="B138" s="33" t="n">
        <f aca="false">B134*Assumptions!$B$13+B137*Assumptions!$B$55</f>
        <v>87000</v>
      </c>
      <c r="C138" s="33" t="n">
        <f aca="false">C134*Assumptions!$B$13+C137*Assumptions!$B$55</f>
        <v>405000</v>
      </c>
      <c r="D138" s="33" t="n">
        <f aca="false">D134*Assumptions!$B$13+D137*Assumptions!$B$55</f>
        <v>726000</v>
      </c>
      <c r="E138" s="33" t="n">
        <f aca="false">E134*Assumptions!$B$13+E137*Assumptions!$B$55</f>
        <v>870000</v>
      </c>
      <c r="F138" s="33" t="n">
        <f aca="false">F134*Assumptions!$B$13+F137*Assumptions!$B$55</f>
        <v>870000</v>
      </c>
    </row>
    <row r="139" customFormat="false" ht="15" hidden="false" customHeight="false" outlineLevel="0" collapsed="false">
      <c r="A139" s="10" t="s">
        <v>203</v>
      </c>
      <c r="B139" s="33" t="n">
        <f aca="false">B135*Assumptions!$B$14+B137*Assumptions!$B$54</f>
        <v>17500</v>
      </c>
      <c r="C139" s="33" t="n">
        <f aca="false">C135*Assumptions!$B$14+C137*Assumptions!$B$54</f>
        <v>192500</v>
      </c>
      <c r="D139" s="33" t="n">
        <f aca="false">D135*Assumptions!$B$14+D137*Assumptions!$B$54</f>
        <v>371000</v>
      </c>
      <c r="E139" s="33" t="n">
        <f aca="false">E135*Assumptions!$B$14+E137*Assumptions!$B$54</f>
        <v>455000</v>
      </c>
      <c r="F139" s="33" t="n">
        <f aca="false">F135*Assumptions!$B$14+F137*Assumptions!$B$54</f>
        <v>455000</v>
      </c>
    </row>
    <row r="140" customFormat="false" ht="15" hidden="false" customHeight="false" outlineLevel="0" collapsed="false">
      <c r="A140" s="10" t="s">
        <v>204</v>
      </c>
      <c r="B140" s="33" t="n">
        <f aca="false">SUM(B139:B139)</f>
        <v>17500</v>
      </c>
      <c r="C140" s="33" t="n">
        <f aca="false">SUM(B139:C139)</f>
        <v>210000</v>
      </c>
      <c r="D140" s="33" t="n">
        <f aca="false">SUM(B139:D139)</f>
        <v>581000</v>
      </c>
      <c r="E140" s="33" t="n">
        <f aca="false">SUM(B139:E139)</f>
        <v>1036000</v>
      </c>
      <c r="F140" s="33" t="n">
        <f aca="false">SUM(C139:F139)</f>
        <v>1473500</v>
      </c>
    </row>
    <row r="141" customFormat="false" ht="15" hidden="false" customHeight="false" outlineLevel="0" collapsed="false">
      <c r="A141" s="10" t="s">
        <v>205</v>
      </c>
      <c r="B141" s="34" t="n">
        <f aca="false">B136*Assumptions!$B$15*Assumptions!$B$24*Assumptions!$B$25*Assumptions!$B$7</f>
        <v>588000</v>
      </c>
      <c r="C141" s="34" t="n">
        <f aca="false">C136*Assumptions!$B$15*Assumptions!$B$24*Assumptions!$B$25*Assumptions!$B$7</f>
        <v>1960000</v>
      </c>
      <c r="D141" s="34" t="n">
        <f aca="false">D136*Assumptions!$B$15*Assumptions!$B$24*Assumptions!$B$25*Assumptions!$B$7</f>
        <v>3332000</v>
      </c>
      <c r="E141" s="34" t="n">
        <f aca="false">E136*Assumptions!$B$15*Assumptions!$B$24*Assumptions!$B$25*Assumptions!$B$7</f>
        <v>3920000</v>
      </c>
      <c r="F141" s="34" t="n">
        <f aca="false">F136*Assumptions!$B$15*Assumptions!$B$24*Assumptions!$B$25*Assumptions!$B$7</f>
        <v>3920000</v>
      </c>
    </row>
    <row r="142" customFormat="false" ht="15" hidden="false" customHeight="false" outlineLevel="0" collapsed="false">
      <c r="A142" s="10" t="s">
        <v>206</v>
      </c>
      <c r="B142" s="34" t="n">
        <f aca="false">B136*Assumptions!$B$13*Assumptions!$B$16*Assumptions!$B$26*Assumptions!$B$27*Assumptions!$B$28*Assumptions!$B$25*Assumptions!$B$7</f>
        <v>69120</v>
      </c>
      <c r="C142" s="34" t="n">
        <f aca="false">C136*Assumptions!$B$13*Assumptions!$B$16*Assumptions!$B$26*Assumptions!$B$27*Assumptions!$B$28*Assumptions!$B$25*Assumptions!$B$7</f>
        <v>230400</v>
      </c>
      <c r="D142" s="34" t="n">
        <f aca="false">D136*Assumptions!$B$13*Assumptions!$B$16*Assumptions!$B$26*Assumptions!$B$27*Assumptions!$B$28*Assumptions!$B$25*Assumptions!$B$7</f>
        <v>391680</v>
      </c>
      <c r="E142" s="34" t="n">
        <f aca="false">E136*Assumptions!$B$13*Assumptions!$B$16*Assumptions!$B$26*Assumptions!$B$27*Assumptions!$B$28*Assumptions!$B$25*Assumptions!$B$7</f>
        <v>460800</v>
      </c>
      <c r="F142" s="34" t="n">
        <f aca="false">F136*Assumptions!$B$13*Assumptions!$B$16*Assumptions!$B$26*Assumptions!$B$27*Assumptions!$B$28*Assumptions!$B$25*Assumptions!$B$7</f>
        <v>460800</v>
      </c>
    </row>
    <row r="143" customFormat="false" ht="15" hidden="false" customHeight="false" outlineLevel="0" collapsed="false">
      <c r="A143" s="10" t="s">
        <v>207</v>
      </c>
      <c r="B143" s="34" t="n">
        <f aca="false">B135*Assumptions!$B$29*Assumptions!$B$30*Assumptions!$B$31*Assumptions!$B$25*Assumptions!$B$7</f>
        <v>31500</v>
      </c>
      <c r="C143" s="34" t="n">
        <f aca="false">C135*Assumptions!$B$29*Assumptions!$B$30*Assumptions!$B$31*Assumptions!$B$25*Assumptions!$B$7</f>
        <v>94500</v>
      </c>
      <c r="D143" s="34" t="n">
        <f aca="false">D135*Assumptions!$B$29*Assumptions!$B$30*Assumptions!$B$31*Assumptions!$B$25*Assumptions!$B$7</f>
        <v>163800</v>
      </c>
      <c r="E143" s="34" t="n">
        <f aca="false">E135*Assumptions!$B$29*Assumptions!$B$30*Assumptions!$B$31*Assumptions!$B$25*Assumptions!$B$7</f>
        <v>189000</v>
      </c>
      <c r="F143" s="34" t="n">
        <f aca="false">F135*Assumptions!$B$29*Assumptions!$B$30*Assumptions!$B$31*Assumptions!$B$25*Assumptions!$B$7</f>
        <v>189000</v>
      </c>
    </row>
    <row r="144" customFormat="false" ht="15" hidden="false" customHeight="false" outlineLevel="0" collapsed="false">
      <c r="A144" s="10" t="s">
        <v>208</v>
      </c>
      <c r="B144" s="34" t="n">
        <f aca="false">B134*Assumptions!$B$32*Assumptions!$B$7</f>
        <v>0</v>
      </c>
      <c r="C144" s="34" t="n">
        <f aca="false">C134*Assumptions!$B$32*Assumptions!$B$7</f>
        <v>0</v>
      </c>
      <c r="D144" s="34" t="n">
        <f aca="false">D134*Assumptions!$B$32*Assumptions!$B$7</f>
        <v>0</v>
      </c>
      <c r="E144" s="34" t="n">
        <f aca="false">E134*Assumptions!$B$32*Assumptions!$B$7</f>
        <v>0</v>
      </c>
      <c r="F144" s="34" t="n">
        <f aca="false">F134*Assumptions!$B$32*Assumptions!$B$7</f>
        <v>0</v>
      </c>
    </row>
    <row r="145" customFormat="false" ht="15" hidden="false" customHeight="false" outlineLevel="0" collapsed="false">
      <c r="A145" s="12" t="s">
        <v>209</v>
      </c>
      <c r="B145" s="35" t="n">
        <f aca="false">SUM(B141:B144)</f>
        <v>688620</v>
      </c>
      <c r="C145" s="35" t="n">
        <f aca="false">SUM(C141:C144)</f>
        <v>2284900</v>
      </c>
      <c r="D145" s="35" t="n">
        <f aca="false">SUM(D141:D144)</f>
        <v>3887480</v>
      </c>
      <c r="E145" s="35" t="n">
        <f aca="false">SUM(E141:E144)</f>
        <v>4569800</v>
      </c>
      <c r="F145" s="35" t="n">
        <f aca="false">SUM(F141:F144)</f>
        <v>4569800</v>
      </c>
    </row>
    <row r="146" customFormat="false" ht="15" hidden="false" customHeight="false" outlineLevel="0" collapsed="false">
      <c r="A146" s="10" t="s">
        <v>210</v>
      </c>
      <c r="B146" s="34" t="n">
        <f aca="false">IF(B138&gt;=Assumptions!$B$37,Assumptions!B$62*Assumptions!$B$36*Assumptions!$C$7,0)</f>
        <v>0</v>
      </c>
      <c r="C146" s="34" t="n">
        <f aca="false">IF(C138&gt;=Assumptions!$B$37,Assumptions!C$62*Assumptions!$B$36*Assumptions!$C$7,0)</f>
        <v>240000</v>
      </c>
      <c r="D146" s="34" t="n">
        <f aca="false">IF(D138&gt;=Assumptions!$B$37,Assumptions!D$62*Assumptions!$B$36*Assumptions!$C$7,0)</f>
        <v>480000</v>
      </c>
      <c r="E146" s="34" t="n">
        <f aca="false">IF(E138&gt;=Assumptions!$B$37,Assumptions!E$62*Assumptions!$B$36*Assumptions!$C$7,0)</f>
        <v>600000</v>
      </c>
      <c r="F146" s="34" t="n">
        <f aca="false">IF(F138&gt;=Assumptions!$B$37,Assumptions!F$62*Assumptions!$B$36*Assumptions!$C$7,0)</f>
        <v>840000</v>
      </c>
    </row>
    <row r="147" customFormat="false" ht="15" hidden="false" customHeight="false" outlineLevel="0" collapsed="false">
      <c r="A147" s="10" t="s">
        <v>211</v>
      </c>
      <c r="B147" s="34" t="n">
        <f aca="false">Assumptions!B$63*Assumptions!$B$38*Assumptions!$C$7</f>
        <v>40000</v>
      </c>
      <c r="C147" s="34" t="n">
        <f aca="false">Assumptions!C$63*Assumptions!$B$38*Assumptions!$C$7</f>
        <v>120000</v>
      </c>
      <c r="D147" s="34" t="n">
        <f aca="false">Assumptions!D$63*Assumptions!$B$38*Assumptions!$C$7</f>
        <v>200000</v>
      </c>
      <c r="E147" s="34" t="n">
        <f aca="false">Assumptions!E$63*Assumptions!$B$38*Assumptions!$C$7</f>
        <v>240000</v>
      </c>
      <c r="F147" s="34" t="n">
        <f aca="false">Assumptions!F$63*Assumptions!$B$38*Assumptions!$C$7</f>
        <v>280000</v>
      </c>
    </row>
    <row r="148" customFormat="false" ht="15" hidden="false" customHeight="false" outlineLevel="0" collapsed="false">
      <c r="A148" s="10" t="s">
        <v>212</v>
      </c>
      <c r="B148" s="34" t="n">
        <f aca="false">IF(B140&gt;=Assumptions!$B$40,Assumptions!B$64*Assumptions!$B$39*Assumptions!$C$7,0)</f>
        <v>0</v>
      </c>
      <c r="C148" s="34" t="n">
        <f aca="false">IF(C140&gt;=Assumptions!$B$40,Assumptions!C$64*Assumptions!$B$39*Assumptions!$C$7,0)</f>
        <v>0</v>
      </c>
      <c r="D148" s="34" t="n">
        <f aca="false">IF(D140&gt;=Assumptions!$B$40,Assumptions!D$64*Assumptions!$B$39*Assumptions!$C$7,0)</f>
        <v>0</v>
      </c>
      <c r="E148" s="34" t="n">
        <f aca="false">IF(E140&gt;=Assumptions!$B$40,Assumptions!E$64*Assumptions!$B$39*Assumptions!$C$7,0)</f>
        <v>500000</v>
      </c>
      <c r="F148" s="34" t="n">
        <f aca="false">IF(F140&gt;=Assumptions!$B$40,Assumptions!F$64*Assumptions!$B$39*Assumptions!$C$7,0)</f>
        <v>750000</v>
      </c>
    </row>
    <row r="149" customFormat="false" ht="15" hidden="false" customHeight="false" outlineLevel="0" collapsed="false">
      <c r="A149" s="10" t="s">
        <v>213</v>
      </c>
      <c r="B149" s="34" t="n">
        <f aca="false">IF(B140&gt;=Assumptions!$B$41,Assumptions!B$65*Assumptions!$B$39*Assumptions!$C$7,0)</f>
        <v>0</v>
      </c>
      <c r="C149" s="34" t="n">
        <f aca="false">IF(C140&gt;=Assumptions!$B$41,Assumptions!C$65*Assumptions!$B$39*Assumptions!$C$7,0)</f>
        <v>0</v>
      </c>
      <c r="D149" s="34" t="n">
        <f aca="false">IF(D140&gt;=Assumptions!$B$41,Assumptions!D$65*Assumptions!$B$39*Assumptions!$C$7,0)</f>
        <v>0</v>
      </c>
      <c r="E149" s="34" t="n">
        <f aca="false">IF(E140&gt;=Assumptions!$B$41,Assumptions!E$65*Assumptions!$B$39*Assumptions!$C$7,0)</f>
        <v>0</v>
      </c>
      <c r="F149" s="34" t="n">
        <f aca="false">IF(F140&gt;=Assumptions!$B$41,Assumptions!F$65*Assumptions!$B$39*Assumptions!$C$7,0)</f>
        <v>500000</v>
      </c>
    </row>
    <row r="150" customFormat="false" ht="15" hidden="false" customHeight="false" outlineLevel="0" collapsed="false">
      <c r="A150" s="10" t="s">
        <v>214</v>
      </c>
      <c r="B150" s="34" t="n">
        <f aca="false">B137*Assumptions!$B$56*Assumptions!$B$57*Assumptions!$C$7</f>
        <v>0</v>
      </c>
      <c r="C150" s="34" t="n">
        <f aca="false">C137*Assumptions!$B$56*Assumptions!$B$57*Assumptions!$C$7</f>
        <v>28800</v>
      </c>
      <c r="D150" s="34" t="n">
        <f aca="false">D137*Assumptions!$B$56*Assumptions!$B$57*Assumptions!$C$7</f>
        <v>57600</v>
      </c>
      <c r="E150" s="34" t="n">
        <f aca="false">E137*Assumptions!$B$56*Assumptions!$B$57*Assumptions!$C$7</f>
        <v>72000</v>
      </c>
      <c r="F150" s="34" t="n">
        <f aca="false">F137*Assumptions!$B$56*Assumptions!$B$57*Assumptions!$C$7</f>
        <v>72000</v>
      </c>
    </row>
    <row r="151" customFormat="false" ht="15" hidden="false" customHeight="false" outlineLevel="0" collapsed="false">
      <c r="A151" s="12" t="s">
        <v>215</v>
      </c>
      <c r="B151" s="35" t="n">
        <f aca="false">SUM(B146:B150)</f>
        <v>40000</v>
      </c>
      <c r="C151" s="35" t="n">
        <f aca="false">SUM(C146:C150)</f>
        <v>388800</v>
      </c>
      <c r="D151" s="35" t="n">
        <f aca="false">SUM(D146:D150)</f>
        <v>737600</v>
      </c>
      <c r="E151" s="35" t="n">
        <f aca="false">SUM(E146:E150)</f>
        <v>1412000</v>
      </c>
      <c r="F151" s="35" t="n">
        <f aca="false">SUM(F146:F150)</f>
        <v>2442000</v>
      </c>
    </row>
    <row r="152" customFormat="false" ht="15" hidden="false" customHeight="false" outlineLevel="0" collapsed="false">
      <c r="A152" s="10" t="s">
        <v>216</v>
      </c>
      <c r="B152" s="34" t="n">
        <f aca="false">(Assumptions!B$76+Assumptions!B$61)*Assumptions!$B$69</f>
        <v>1000000</v>
      </c>
      <c r="C152" s="34" t="n">
        <f aca="false">(Assumptions!C$76+Assumptions!C$61)*Assumptions!$B$69</f>
        <v>1800000</v>
      </c>
      <c r="D152" s="34" t="n">
        <f aca="false">(Assumptions!D$76+Assumptions!D$61)*Assumptions!$B$69</f>
        <v>2200000</v>
      </c>
      <c r="E152" s="34" t="n">
        <f aca="false">(Assumptions!E$76+Assumptions!E$61)*Assumptions!$B$69</f>
        <v>2600000</v>
      </c>
      <c r="F152" s="34" t="n">
        <f aca="false">(Assumptions!F$76+Assumptions!F$61)*Assumptions!$B$69</f>
        <v>2800000</v>
      </c>
    </row>
    <row r="153" customFormat="false" ht="15" hidden="false" customHeight="false" outlineLevel="0" collapsed="false">
      <c r="A153" s="10" t="s">
        <v>217</v>
      </c>
      <c r="B153" s="34" t="n">
        <f aca="false">B134*Assumptions!$B$70</f>
        <v>435000</v>
      </c>
      <c r="C153" s="34" t="n">
        <f aca="false">MAX(0,C134-B134)*Assumptions!$B$70</f>
        <v>990000</v>
      </c>
      <c r="D153" s="34" t="n">
        <f aca="false">MAX(0,D134-C134)*Assumptions!$B$70</f>
        <v>1005000</v>
      </c>
      <c r="E153" s="34" t="n">
        <f aca="false">MAX(0,E134-D134)*Assumptions!$B$70</f>
        <v>420000</v>
      </c>
      <c r="F153" s="34" t="n">
        <f aca="false">MAX(0,F134-E134)*Assumptions!$B$70</f>
        <v>0</v>
      </c>
    </row>
    <row r="154" customFormat="false" ht="15" hidden="false" customHeight="false" outlineLevel="0" collapsed="false">
      <c r="A154" s="10" t="s">
        <v>218</v>
      </c>
      <c r="B154" s="34" t="n">
        <f aca="false">Assumptions!$B$71+(B134+B137)*Assumptions!$B$72</f>
        <v>167400</v>
      </c>
      <c r="C154" s="34" t="n">
        <f aca="false">Assumptions!$B$71+(C134+C137)*Assumptions!$B$72</f>
        <v>231000</v>
      </c>
      <c r="D154" s="34" t="n">
        <f aca="false">Assumptions!$B$71+(D134+D137)*Assumptions!$B$72</f>
        <v>295200</v>
      </c>
      <c r="E154" s="34" t="n">
        <f aca="false">Assumptions!$B$71+(E134+E137)*Assumptions!$B$72</f>
        <v>324000</v>
      </c>
      <c r="F154" s="34" t="n">
        <f aca="false">Assumptions!$B$71+(F134+F137)*Assumptions!$B$72</f>
        <v>324000</v>
      </c>
    </row>
    <row r="155" customFormat="false" ht="15" hidden="false" customHeight="false" outlineLevel="0" collapsed="false">
      <c r="A155" s="10" t="s">
        <v>219</v>
      </c>
      <c r="B155" s="34" t="n">
        <f aca="false">Assumptions!$B$73</f>
        <v>150000</v>
      </c>
      <c r="C155" s="34" t="n">
        <f aca="false">Assumptions!$B$73</f>
        <v>150000</v>
      </c>
      <c r="D155" s="34" t="n">
        <f aca="false">Assumptions!$B$73</f>
        <v>150000</v>
      </c>
      <c r="E155" s="34" t="n">
        <f aca="false">Assumptions!$B$73</f>
        <v>150000</v>
      </c>
      <c r="F155" s="34" t="n">
        <f aca="false">Assumptions!$B$73</f>
        <v>150000</v>
      </c>
    </row>
    <row r="156" customFormat="false" ht="15" hidden="false" customHeight="false" outlineLevel="0" collapsed="false">
      <c r="A156" s="10" t="s">
        <v>220</v>
      </c>
      <c r="B156" s="34" t="n">
        <f aca="false">(B148+B149)*Assumptions!$B$42</f>
        <v>0</v>
      </c>
      <c r="C156" s="34" t="n">
        <f aca="false">(C148+C149)*Assumptions!$B$42</f>
        <v>0</v>
      </c>
      <c r="D156" s="34" t="n">
        <f aca="false">(D148+D149)*Assumptions!$B$42</f>
        <v>0</v>
      </c>
      <c r="E156" s="34" t="n">
        <f aca="false">(E148+E149)*Assumptions!$B$42</f>
        <v>200000</v>
      </c>
      <c r="F156" s="34" t="n">
        <f aca="false">(F148+F149)*Assumptions!$B$42</f>
        <v>500000</v>
      </c>
    </row>
    <row r="157" customFormat="false" ht="15" hidden="false" customHeight="false" outlineLevel="0" collapsed="false">
      <c r="A157" s="10" t="s">
        <v>221</v>
      </c>
      <c r="B157" s="34" t="n">
        <f aca="false">B137*Assumptions!$B$52</f>
        <v>0</v>
      </c>
      <c r="C157" s="34" t="n">
        <f aca="false">C137*Assumptions!$B$52</f>
        <v>40000</v>
      </c>
      <c r="D157" s="34" t="n">
        <f aca="false">D137*Assumptions!$B$52</f>
        <v>80000</v>
      </c>
      <c r="E157" s="34" t="n">
        <f aca="false">E137*Assumptions!$B$52</f>
        <v>100000</v>
      </c>
      <c r="F157" s="34" t="n">
        <f aca="false">F137*Assumptions!$B$52</f>
        <v>100000</v>
      </c>
    </row>
    <row r="158" customFormat="false" ht="15" hidden="false" customHeight="false" outlineLevel="0" collapsed="false">
      <c r="A158" s="10" t="s">
        <v>222</v>
      </c>
      <c r="B158" s="34" t="n">
        <f aca="false">B137*Assumptions!$B$53</f>
        <v>0</v>
      </c>
      <c r="C158" s="34" t="n">
        <f aca="false">MAX(0,C137-B137)*Assumptions!$B$53</f>
        <v>80000</v>
      </c>
      <c r="D158" s="34" t="n">
        <f aca="false">MAX(0,D137-C137)*Assumptions!$B$53</f>
        <v>80000</v>
      </c>
      <c r="E158" s="34" t="n">
        <f aca="false">MAX(0,E137-D137)*Assumptions!$B$53</f>
        <v>40000</v>
      </c>
      <c r="F158" s="34" t="n">
        <f aca="false">MAX(0,F137-E137)*Assumptions!$B$53</f>
        <v>0</v>
      </c>
    </row>
    <row r="159" customFormat="false" ht="15" hidden="false" customHeight="false" outlineLevel="0" collapsed="false">
      <c r="A159" s="12" t="s">
        <v>223</v>
      </c>
      <c r="B159" s="35" t="n">
        <f aca="false">SUM(B152:B158)</f>
        <v>1752400</v>
      </c>
      <c r="C159" s="35" t="n">
        <f aca="false">SUM(C152:C158)</f>
        <v>3291000</v>
      </c>
      <c r="D159" s="35" t="n">
        <f aca="false">SUM(D152:D158)</f>
        <v>3810200</v>
      </c>
      <c r="E159" s="35" t="n">
        <f aca="false">SUM(E152:E158)</f>
        <v>3834000</v>
      </c>
      <c r="F159" s="35" t="n">
        <f aca="false">SUM(F152:F158)</f>
        <v>3874000</v>
      </c>
    </row>
    <row r="160" customFormat="false" ht="15" hidden="false" customHeight="false" outlineLevel="0" collapsed="false">
      <c r="A160" s="12" t="s">
        <v>224</v>
      </c>
      <c r="B160" s="35" t="n">
        <f aca="false">B145+B151-B159</f>
        <v>-1023780</v>
      </c>
      <c r="C160" s="35" t="n">
        <f aca="false">C145+C151-C159</f>
        <v>-617300</v>
      </c>
      <c r="D160" s="35" t="n">
        <f aca="false">D145+D151-D159</f>
        <v>814880</v>
      </c>
      <c r="E160" s="35" t="n">
        <f aca="false">E145+E151-E159</f>
        <v>2147800</v>
      </c>
      <c r="F160" s="35" t="n">
        <f aca="false">F145+F151-F159</f>
        <v>3137800</v>
      </c>
    </row>
    <row r="161" customFormat="false" ht="15" hidden="false" customHeight="false" outlineLevel="0" collapsed="false">
      <c r="A161" s="10" t="s">
        <v>225</v>
      </c>
      <c r="B161" s="34" t="n">
        <f aca="false">B160</f>
        <v>-1023780</v>
      </c>
      <c r="C161" s="34" t="n">
        <f aca="false">B161+C160</f>
        <v>-1641080</v>
      </c>
      <c r="D161" s="34" t="n">
        <f aca="false">C161+D160</f>
        <v>-826200</v>
      </c>
      <c r="E161" s="34" t="n">
        <f aca="false">D161+E160</f>
        <v>1321600</v>
      </c>
      <c r="F161" s="34" t="n">
        <f aca="false">E161+F160</f>
        <v>4459400</v>
      </c>
    </row>
    <row r="162" customFormat="false" ht="15" hidden="false" customHeight="false" outlineLevel="0" collapsed="false">
      <c r="A162" s="10" t="s">
        <v>226</v>
      </c>
      <c r="B162" s="33" t="n">
        <f aca="false">IF(B161&gt;0,1,99)</f>
        <v>99</v>
      </c>
      <c r="C162" s="33" t="n">
        <f aca="false">IF(C161&gt;0,2,99)</f>
        <v>99</v>
      </c>
      <c r="D162" s="33" t="n">
        <f aca="false">IF(D161&gt;0,3,99)</f>
        <v>99</v>
      </c>
      <c r="E162" s="33" t="n">
        <f aca="false">IF(E161&gt;0,4,99)</f>
        <v>4</v>
      </c>
      <c r="F162" s="33" t="n">
        <f aca="false">IF(F161&gt;0,5,99)</f>
        <v>5</v>
      </c>
    </row>
    <row r="164" customFormat="false" ht="15" hidden="false" customHeight="false" outlineLevel="0" collapsed="false">
      <c r="A164" s="19" t="s">
        <v>231</v>
      </c>
      <c r="B164" s="20"/>
      <c r="C164" s="20"/>
      <c r="D164" s="20"/>
      <c r="E164" s="20"/>
      <c r="F164" s="20"/>
    </row>
    <row r="165" customFormat="false" ht="15" hidden="false" customHeight="false" outlineLevel="0" collapsed="false">
      <c r="A165" s="8" t="s">
        <v>198</v>
      </c>
      <c r="B165" s="9" t="s">
        <v>112</v>
      </c>
      <c r="C165" s="9" t="s">
        <v>113</v>
      </c>
      <c r="D165" s="9" t="s">
        <v>114</v>
      </c>
      <c r="E165" s="9" t="s">
        <v>115</v>
      </c>
      <c r="F165" s="9" t="s">
        <v>116</v>
      </c>
    </row>
    <row r="166" customFormat="false" ht="15" hidden="false" customHeight="false" outlineLevel="0" collapsed="false">
      <c r="A166" s="10" t="s">
        <v>199</v>
      </c>
      <c r="B166" s="33" t="n">
        <f aca="false">ROUND(Assumptions!$B$11*Assumptions!B$20,0)</f>
        <v>29</v>
      </c>
      <c r="C166" s="33" t="n">
        <f aca="false">ROUND(Assumptions!$B$11*Assumptions!C$20,0)</f>
        <v>95</v>
      </c>
      <c r="D166" s="33" t="n">
        <f aca="false">ROUND(Assumptions!$B$11*Assumptions!D$20,0)</f>
        <v>162</v>
      </c>
      <c r="E166" s="33" t="n">
        <f aca="false">ROUND(Assumptions!$B$11*Assumptions!E$20,0)</f>
        <v>190</v>
      </c>
      <c r="F166" s="33" t="n">
        <f aca="false">ROUND(Assumptions!$B$11*Assumptions!F$20,0)</f>
        <v>190</v>
      </c>
    </row>
    <row r="167" customFormat="false" ht="15" hidden="false" customHeight="false" outlineLevel="0" collapsed="false">
      <c r="A167" s="10" t="s">
        <v>200</v>
      </c>
      <c r="B167" s="33" t="n">
        <f aca="false">ROUND(Assumptions!$B$12*Assumptions!B$20,0)</f>
        <v>5</v>
      </c>
      <c r="C167" s="33" t="n">
        <f aca="false">ROUND(Assumptions!$B$12*Assumptions!C$20,0)</f>
        <v>15</v>
      </c>
      <c r="D167" s="33" t="n">
        <f aca="false">ROUND(Assumptions!$B$12*Assumptions!D$20,0)</f>
        <v>26</v>
      </c>
      <c r="E167" s="33" t="n">
        <f aca="false">ROUND(Assumptions!$B$12*Assumptions!E$20,0)</f>
        <v>30</v>
      </c>
      <c r="F167" s="33" t="n">
        <f aca="false">ROUND(Assumptions!$B$12*Assumptions!F$20,0)</f>
        <v>30</v>
      </c>
    </row>
    <row r="168" customFormat="false" ht="15" hidden="false" customHeight="false" outlineLevel="0" collapsed="false">
      <c r="A168" s="10" t="s">
        <v>201</v>
      </c>
      <c r="B168" s="33" t="n">
        <f aca="false">ROUND((Assumptions!$B$11-Assumptions!$B$12)*Assumptions!B$20,0)</f>
        <v>24</v>
      </c>
      <c r="C168" s="33" t="n">
        <f aca="false">ROUND((Assumptions!$B$11-Assumptions!$B$12)*Assumptions!C$20,0)</f>
        <v>80</v>
      </c>
      <c r="D168" s="33" t="n">
        <f aca="false">ROUND((Assumptions!$B$11-Assumptions!$B$12)*Assumptions!D$20,0)</f>
        <v>136</v>
      </c>
      <c r="E168" s="33" t="n">
        <f aca="false">ROUND((Assumptions!$B$11-Assumptions!$B$12)*Assumptions!E$20,0)</f>
        <v>160</v>
      </c>
      <c r="F168" s="33" t="n">
        <f aca="false">ROUND((Assumptions!$B$11-Assumptions!$B$12)*Assumptions!F$20,0)</f>
        <v>160</v>
      </c>
    </row>
    <row r="169" customFormat="false" ht="15" hidden="false" customHeight="false" outlineLevel="0" collapsed="false">
      <c r="A169" s="10" t="s">
        <v>172</v>
      </c>
      <c r="B169" s="33" t="n">
        <f aca="false">Assumptions!B$60</f>
        <v>0</v>
      </c>
      <c r="C169" s="33" t="n">
        <f aca="false">Assumptions!C$60</f>
        <v>40</v>
      </c>
      <c r="D169" s="33" t="n">
        <f aca="false">Assumptions!D$60</f>
        <v>80</v>
      </c>
      <c r="E169" s="33" t="n">
        <f aca="false">Assumptions!E$60</f>
        <v>100</v>
      </c>
      <c r="F169" s="33" t="n">
        <f aca="false">Assumptions!F$60</f>
        <v>100</v>
      </c>
    </row>
    <row r="170" customFormat="false" ht="15" hidden="false" customHeight="false" outlineLevel="0" collapsed="false">
      <c r="A170" s="10" t="s">
        <v>202</v>
      </c>
      <c r="B170" s="33" t="n">
        <f aca="false">B166*Assumptions!$B$13+B169*Assumptions!$B$55</f>
        <v>87000</v>
      </c>
      <c r="C170" s="33" t="n">
        <f aca="false">C166*Assumptions!$B$13+C169*Assumptions!$B$55</f>
        <v>405000</v>
      </c>
      <c r="D170" s="33" t="n">
        <f aca="false">D166*Assumptions!$B$13+D169*Assumptions!$B$55</f>
        <v>726000</v>
      </c>
      <c r="E170" s="33" t="n">
        <f aca="false">E166*Assumptions!$B$13+E169*Assumptions!$B$55</f>
        <v>870000</v>
      </c>
      <c r="F170" s="33" t="n">
        <f aca="false">F166*Assumptions!$B$13+F169*Assumptions!$B$55</f>
        <v>870000</v>
      </c>
    </row>
    <row r="171" customFormat="false" ht="15" hidden="false" customHeight="false" outlineLevel="0" collapsed="false">
      <c r="A171" s="10" t="s">
        <v>203</v>
      </c>
      <c r="B171" s="33" t="n">
        <f aca="false">B167*Assumptions!$B$14+B169*Assumptions!$B$54</f>
        <v>17500</v>
      </c>
      <c r="C171" s="33" t="n">
        <f aca="false">C167*Assumptions!$B$14+C169*Assumptions!$B$54</f>
        <v>192500</v>
      </c>
      <c r="D171" s="33" t="n">
        <f aca="false">D167*Assumptions!$B$14+D169*Assumptions!$B$54</f>
        <v>371000</v>
      </c>
      <c r="E171" s="33" t="n">
        <f aca="false">E167*Assumptions!$B$14+E169*Assumptions!$B$54</f>
        <v>455000</v>
      </c>
      <c r="F171" s="33" t="n">
        <f aca="false">F167*Assumptions!$B$14+F169*Assumptions!$B$54</f>
        <v>455000</v>
      </c>
    </row>
    <row r="172" customFormat="false" ht="15" hidden="false" customHeight="false" outlineLevel="0" collapsed="false">
      <c r="A172" s="10" t="s">
        <v>204</v>
      </c>
      <c r="B172" s="33" t="n">
        <f aca="false">SUM(B171:B171)</f>
        <v>17500</v>
      </c>
      <c r="C172" s="33" t="n">
        <f aca="false">SUM(B171:C171)</f>
        <v>210000</v>
      </c>
      <c r="D172" s="33" t="n">
        <f aca="false">SUM(B171:D171)</f>
        <v>581000</v>
      </c>
      <c r="E172" s="33" t="n">
        <f aca="false">SUM(B171:E171)</f>
        <v>1036000</v>
      </c>
      <c r="F172" s="33" t="n">
        <f aca="false">SUM(C171:F171)</f>
        <v>1473500</v>
      </c>
    </row>
    <row r="173" customFormat="false" ht="15" hidden="false" customHeight="false" outlineLevel="0" collapsed="false">
      <c r="A173" s="10" t="s">
        <v>205</v>
      </c>
      <c r="B173" s="34" t="n">
        <f aca="false">B168*Assumptions!$B$15*Assumptions!$B$24*Assumptions!$B$25*Assumptions!$B$8</f>
        <v>823200</v>
      </c>
      <c r="C173" s="34" t="n">
        <f aca="false">C168*Assumptions!$B$15*Assumptions!$B$24*Assumptions!$B$25*Assumptions!$B$8</f>
        <v>2744000</v>
      </c>
      <c r="D173" s="34" t="n">
        <f aca="false">D168*Assumptions!$B$15*Assumptions!$B$24*Assumptions!$B$25*Assumptions!$B$8</f>
        <v>4664800</v>
      </c>
      <c r="E173" s="34" t="n">
        <f aca="false">E168*Assumptions!$B$15*Assumptions!$B$24*Assumptions!$B$25*Assumptions!$B$8</f>
        <v>5488000</v>
      </c>
      <c r="F173" s="34" t="n">
        <f aca="false">F168*Assumptions!$B$15*Assumptions!$B$24*Assumptions!$B$25*Assumptions!$B$8</f>
        <v>5488000</v>
      </c>
    </row>
    <row r="174" customFormat="false" ht="15" hidden="false" customHeight="false" outlineLevel="0" collapsed="false">
      <c r="A174" s="10" t="s">
        <v>206</v>
      </c>
      <c r="B174" s="34" t="n">
        <f aca="false">B168*Assumptions!$B$13*Assumptions!$B$16*Assumptions!$B$26*Assumptions!$B$27*Assumptions!$B$28*Assumptions!$B$25*Assumptions!$B$8</f>
        <v>96768</v>
      </c>
      <c r="C174" s="34" t="n">
        <f aca="false">C168*Assumptions!$B$13*Assumptions!$B$16*Assumptions!$B$26*Assumptions!$B$27*Assumptions!$B$28*Assumptions!$B$25*Assumptions!$B$8</f>
        <v>322560</v>
      </c>
      <c r="D174" s="34" t="n">
        <f aca="false">D168*Assumptions!$B$13*Assumptions!$B$16*Assumptions!$B$26*Assumptions!$B$27*Assumptions!$B$28*Assumptions!$B$25*Assumptions!$B$8</f>
        <v>548352</v>
      </c>
      <c r="E174" s="34" t="n">
        <f aca="false">E168*Assumptions!$B$13*Assumptions!$B$16*Assumptions!$B$26*Assumptions!$B$27*Assumptions!$B$28*Assumptions!$B$25*Assumptions!$B$8</f>
        <v>645120</v>
      </c>
      <c r="F174" s="34" t="n">
        <f aca="false">F168*Assumptions!$B$13*Assumptions!$B$16*Assumptions!$B$26*Assumptions!$B$27*Assumptions!$B$28*Assumptions!$B$25*Assumptions!$B$8</f>
        <v>645120</v>
      </c>
    </row>
    <row r="175" customFormat="false" ht="15" hidden="false" customHeight="false" outlineLevel="0" collapsed="false">
      <c r="A175" s="10" t="s">
        <v>207</v>
      </c>
      <c r="B175" s="34" t="n">
        <f aca="false">B167*Assumptions!$B$29*Assumptions!$B$30*Assumptions!$B$31*Assumptions!$B$25*Assumptions!$B$8</f>
        <v>44100</v>
      </c>
      <c r="C175" s="34" t="n">
        <f aca="false">C167*Assumptions!$B$29*Assumptions!$B$30*Assumptions!$B$31*Assumptions!$B$25*Assumptions!$B$8</f>
        <v>132300</v>
      </c>
      <c r="D175" s="34" t="n">
        <f aca="false">D167*Assumptions!$B$29*Assumptions!$B$30*Assumptions!$B$31*Assumptions!$B$25*Assumptions!$B$8</f>
        <v>229320</v>
      </c>
      <c r="E175" s="34" t="n">
        <f aca="false">E167*Assumptions!$B$29*Assumptions!$B$30*Assumptions!$B$31*Assumptions!$B$25*Assumptions!$B$8</f>
        <v>264600</v>
      </c>
      <c r="F175" s="34" t="n">
        <f aca="false">F167*Assumptions!$B$29*Assumptions!$B$30*Assumptions!$B$31*Assumptions!$B$25*Assumptions!$B$8</f>
        <v>264600</v>
      </c>
    </row>
    <row r="176" customFormat="false" ht="15" hidden="false" customHeight="false" outlineLevel="0" collapsed="false">
      <c r="A176" s="10" t="s">
        <v>208</v>
      </c>
      <c r="B176" s="34" t="n">
        <f aca="false">B166*Assumptions!$B$32*Assumptions!$B$8</f>
        <v>0</v>
      </c>
      <c r="C176" s="34" t="n">
        <f aca="false">C166*Assumptions!$B$32*Assumptions!$B$8</f>
        <v>0</v>
      </c>
      <c r="D176" s="34" t="n">
        <f aca="false">D166*Assumptions!$B$32*Assumptions!$B$8</f>
        <v>0</v>
      </c>
      <c r="E176" s="34" t="n">
        <f aca="false">E166*Assumptions!$B$32*Assumptions!$B$8</f>
        <v>0</v>
      </c>
      <c r="F176" s="34" t="n">
        <f aca="false">F166*Assumptions!$B$32*Assumptions!$B$8</f>
        <v>0</v>
      </c>
    </row>
    <row r="177" customFormat="false" ht="15" hidden="false" customHeight="false" outlineLevel="0" collapsed="false">
      <c r="A177" s="12" t="s">
        <v>209</v>
      </c>
      <c r="B177" s="35" t="n">
        <f aca="false">SUM(B173:B176)</f>
        <v>964068</v>
      </c>
      <c r="C177" s="35" t="n">
        <f aca="false">SUM(C173:C176)</f>
        <v>3198860</v>
      </c>
      <c r="D177" s="35" t="n">
        <f aca="false">SUM(D173:D176)</f>
        <v>5442472</v>
      </c>
      <c r="E177" s="35" t="n">
        <f aca="false">SUM(E173:E176)</f>
        <v>6397720</v>
      </c>
      <c r="F177" s="35" t="n">
        <f aca="false">SUM(F173:F176)</f>
        <v>6397720</v>
      </c>
    </row>
    <row r="178" customFormat="false" ht="15" hidden="false" customHeight="false" outlineLevel="0" collapsed="false">
      <c r="A178" s="10" t="s">
        <v>210</v>
      </c>
      <c r="B178" s="34" t="n">
        <f aca="false">IF(B170&gt;=Assumptions!$B$37,Assumptions!B$62*Assumptions!$B$36*Assumptions!$C$8,0)</f>
        <v>0</v>
      </c>
      <c r="C178" s="34" t="n">
        <f aca="false">IF(C170&gt;=Assumptions!$B$37,Assumptions!C$62*Assumptions!$B$36*Assumptions!$C$8,0)</f>
        <v>276000</v>
      </c>
      <c r="D178" s="34" t="n">
        <f aca="false">IF(D170&gt;=Assumptions!$B$37,Assumptions!D$62*Assumptions!$B$36*Assumptions!$C$8,0)</f>
        <v>552000</v>
      </c>
      <c r="E178" s="34" t="n">
        <f aca="false">IF(E170&gt;=Assumptions!$B$37,Assumptions!E$62*Assumptions!$B$36*Assumptions!$C$8,0)</f>
        <v>690000</v>
      </c>
      <c r="F178" s="34" t="n">
        <f aca="false">IF(F170&gt;=Assumptions!$B$37,Assumptions!F$62*Assumptions!$B$36*Assumptions!$C$8,0)</f>
        <v>966000</v>
      </c>
    </row>
    <row r="179" customFormat="false" ht="15" hidden="false" customHeight="false" outlineLevel="0" collapsed="false">
      <c r="A179" s="10" t="s">
        <v>211</v>
      </c>
      <c r="B179" s="34" t="n">
        <f aca="false">Assumptions!B$63*Assumptions!$B$38*Assumptions!$C$8</f>
        <v>46000</v>
      </c>
      <c r="C179" s="34" t="n">
        <f aca="false">Assumptions!C$63*Assumptions!$B$38*Assumptions!$C$8</f>
        <v>138000</v>
      </c>
      <c r="D179" s="34" t="n">
        <f aca="false">Assumptions!D$63*Assumptions!$B$38*Assumptions!$C$8</f>
        <v>230000</v>
      </c>
      <c r="E179" s="34" t="n">
        <f aca="false">Assumptions!E$63*Assumptions!$B$38*Assumptions!$C$8</f>
        <v>276000</v>
      </c>
      <c r="F179" s="34" t="n">
        <f aca="false">Assumptions!F$63*Assumptions!$B$38*Assumptions!$C$8</f>
        <v>322000</v>
      </c>
    </row>
    <row r="180" customFormat="false" ht="15" hidden="false" customHeight="false" outlineLevel="0" collapsed="false">
      <c r="A180" s="10" t="s">
        <v>212</v>
      </c>
      <c r="B180" s="34" t="n">
        <f aca="false">IF(B172&gt;=Assumptions!$B$40,Assumptions!B$64*Assumptions!$B$39*Assumptions!$C$8,0)</f>
        <v>0</v>
      </c>
      <c r="C180" s="34" t="n">
        <f aca="false">IF(C172&gt;=Assumptions!$B$40,Assumptions!C$64*Assumptions!$B$39*Assumptions!$C$8,0)</f>
        <v>0</v>
      </c>
      <c r="D180" s="34" t="n">
        <f aca="false">IF(D172&gt;=Assumptions!$B$40,Assumptions!D$64*Assumptions!$B$39*Assumptions!$C$8,0)</f>
        <v>0</v>
      </c>
      <c r="E180" s="34" t="n">
        <f aca="false">IF(E172&gt;=Assumptions!$B$40,Assumptions!E$64*Assumptions!$B$39*Assumptions!$C$8,0)</f>
        <v>575000</v>
      </c>
      <c r="F180" s="34" t="n">
        <f aca="false">IF(F172&gt;=Assumptions!$B$40,Assumptions!F$64*Assumptions!$B$39*Assumptions!$C$8,0)</f>
        <v>862500</v>
      </c>
    </row>
    <row r="181" customFormat="false" ht="15" hidden="false" customHeight="false" outlineLevel="0" collapsed="false">
      <c r="A181" s="10" t="s">
        <v>213</v>
      </c>
      <c r="B181" s="34" t="n">
        <f aca="false">IF(B172&gt;=Assumptions!$B$41,Assumptions!B$65*Assumptions!$B$39*Assumptions!$C$8,0)</f>
        <v>0</v>
      </c>
      <c r="C181" s="34" t="n">
        <f aca="false">IF(C172&gt;=Assumptions!$B$41,Assumptions!C$65*Assumptions!$B$39*Assumptions!$C$8,0)</f>
        <v>0</v>
      </c>
      <c r="D181" s="34" t="n">
        <f aca="false">IF(D172&gt;=Assumptions!$B$41,Assumptions!D$65*Assumptions!$B$39*Assumptions!$C$8,0)</f>
        <v>0</v>
      </c>
      <c r="E181" s="34" t="n">
        <f aca="false">IF(E172&gt;=Assumptions!$B$41,Assumptions!E$65*Assumptions!$B$39*Assumptions!$C$8,0)</f>
        <v>0</v>
      </c>
      <c r="F181" s="34" t="n">
        <f aca="false">IF(F172&gt;=Assumptions!$B$41,Assumptions!F$65*Assumptions!$B$39*Assumptions!$C$8,0)</f>
        <v>575000</v>
      </c>
    </row>
    <row r="182" customFormat="false" ht="15" hidden="false" customHeight="false" outlineLevel="0" collapsed="false">
      <c r="A182" s="10" t="s">
        <v>214</v>
      </c>
      <c r="B182" s="34" t="n">
        <f aca="false">B169*Assumptions!$B$56*Assumptions!$B$57*Assumptions!$C$8</f>
        <v>0</v>
      </c>
      <c r="C182" s="34" t="n">
        <f aca="false">C169*Assumptions!$B$56*Assumptions!$B$57*Assumptions!$C$8</f>
        <v>33120</v>
      </c>
      <c r="D182" s="34" t="n">
        <f aca="false">D169*Assumptions!$B$56*Assumptions!$B$57*Assumptions!$C$8</f>
        <v>66240</v>
      </c>
      <c r="E182" s="34" t="n">
        <f aca="false">E169*Assumptions!$B$56*Assumptions!$B$57*Assumptions!$C$8</f>
        <v>82800</v>
      </c>
      <c r="F182" s="34" t="n">
        <f aca="false">F169*Assumptions!$B$56*Assumptions!$B$57*Assumptions!$C$8</f>
        <v>82800</v>
      </c>
    </row>
    <row r="183" customFormat="false" ht="15" hidden="false" customHeight="false" outlineLevel="0" collapsed="false">
      <c r="A183" s="12" t="s">
        <v>215</v>
      </c>
      <c r="B183" s="35" t="n">
        <f aca="false">SUM(B178:B182)</f>
        <v>46000</v>
      </c>
      <c r="C183" s="35" t="n">
        <f aca="false">SUM(C178:C182)</f>
        <v>447120</v>
      </c>
      <c r="D183" s="35" t="n">
        <f aca="false">SUM(D178:D182)</f>
        <v>848240</v>
      </c>
      <c r="E183" s="35" t="n">
        <f aca="false">SUM(E178:E182)</f>
        <v>1623800</v>
      </c>
      <c r="F183" s="35" t="n">
        <f aca="false">SUM(F178:F182)</f>
        <v>2808300</v>
      </c>
    </row>
    <row r="184" customFormat="false" ht="15" hidden="false" customHeight="false" outlineLevel="0" collapsed="false">
      <c r="A184" s="10" t="s">
        <v>216</v>
      </c>
      <c r="B184" s="34" t="n">
        <f aca="false">(Assumptions!B$76+Assumptions!B$61)*Assumptions!$B$69</f>
        <v>1000000</v>
      </c>
      <c r="C184" s="34" t="n">
        <f aca="false">(Assumptions!C$76+Assumptions!C$61)*Assumptions!$B$69</f>
        <v>1800000</v>
      </c>
      <c r="D184" s="34" t="n">
        <f aca="false">(Assumptions!D$76+Assumptions!D$61)*Assumptions!$B$69</f>
        <v>2200000</v>
      </c>
      <c r="E184" s="34" t="n">
        <f aca="false">(Assumptions!E$76+Assumptions!E$61)*Assumptions!$B$69</f>
        <v>2600000</v>
      </c>
      <c r="F184" s="34" t="n">
        <f aca="false">(Assumptions!F$76+Assumptions!F$61)*Assumptions!$B$69</f>
        <v>2800000</v>
      </c>
    </row>
    <row r="185" customFormat="false" ht="15" hidden="false" customHeight="false" outlineLevel="0" collapsed="false">
      <c r="A185" s="10" t="s">
        <v>217</v>
      </c>
      <c r="B185" s="34" t="n">
        <f aca="false">B166*Assumptions!$B$70</f>
        <v>435000</v>
      </c>
      <c r="C185" s="34" t="n">
        <f aca="false">MAX(0,C166-B166)*Assumptions!$B$70</f>
        <v>990000</v>
      </c>
      <c r="D185" s="34" t="n">
        <f aca="false">MAX(0,D166-C166)*Assumptions!$B$70</f>
        <v>1005000</v>
      </c>
      <c r="E185" s="34" t="n">
        <f aca="false">MAX(0,E166-D166)*Assumptions!$B$70</f>
        <v>420000</v>
      </c>
      <c r="F185" s="34" t="n">
        <f aca="false">MAX(0,F166-E166)*Assumptions!$B$70</f>
        <v>0</v>
      </c>
    </row>
    <row r="186" customFormat="false" ht="15" hidden="false" customHeight="false" outlineLevel="0" collapsed="false">
      <c r="A186" s="10" t="s">
        <v>218</v>
      </c>
      <c r="B186" s="34" t="n">
        <f aca="false">Assumptions!$B$71+(B166+B169)*Assumptions!$B$72</f>
        <v>167400</v>
      </c>
      <c r="C186" s="34" t="n">
        <f aca="false">Assumptions!$B$71+(C166+C169)*Assumptions!$B$72</f>
        <v>231000</v>
      </c>
      <c r="D186" s="34" t="n">
        <f aca="false">Assumptions!$B$71+(D166+D169)*Assumptions!$B$72</f>
        <v>295200</v>
      </c>
      <c r="E186" s="34" t="n">
        <f aca="false">Assumptions!$B$71+(E166+E169)*Assumptions!$B$72</f>
        <v>324000</v>
      </c>
      <c r="F186" s="34" t="n">
        <f aca="false">Assumptions!$B$71+(F166+F169)*Assumptions!$B$72</f>
        <v>324000</v>
      </c>
    </row>
    <row r="187" customFormat="false" ht="15" hidden="false" customHeight="false" outlineLevel="0" collapsed="false">
      <c r="A187" s="10" t="s">
        <v>219</v>
      </c>
      <c r="B187" s="34" t="n">
        <f aca="false">Assumptions!$B$73</f>
        <v>150000</v>
      </c>
      <c r="C187" s="34" t="n">
        <f aca="false">Assumptions!$B$73</f>
        <v>150000</v>
      </c>
      <c r="D187" s="34" t="n">
        <f aca="false">Assumptions!$B$73</f>
        <v>150000</v>
      </c>
      <c r="E187" s="34" t="n">
        <f aca="false">Assumptions!$B$73</f>
        <v>150000</v>
      </c>
      <c r="F187" s="34" t="n">
        <f aca="false">Assumptions!$B$73</f>
        <v>150000</v>
      </c>
    </row>
    <row r="188" customFormat="false" ht="15" hidden="false" customHeight="false" outlineLevel="0" collapsed="false">
      <c r="A188" s="10" t="s">
        <v>220</v>
      </c>
      <c r="B188" s="34" t="n">
        <f aca="false">(B180+B181)*Assumptions!$B$42</f>
        <v>0</v>
      </c>
      <c r="C188" s="34" t="n">
        <f aca="false">(C180+C181)*Assumptions!$B$42</f>
        <v>0</v>
      </c>
      <c r="D188" s="34" t="n">
        <f aca="false">(D180+D181)*Assumptions!$B$42</f>
        <v>0</v>
      </c>
      <c r="E188" s="34" t="n">
        <f aca="false">(E180+E181)*Assumptions!$B$42</f>
        <v>230000</v>
      </c>
      <c r="F188" s="34" t="n">
        <f aca="false">(F180+F181)*Assumptions!$B$42</f>
        <v>575000</v>
      </c>
    </row>
    <row r="189" customFormat="false" ht="15" hidden="false" customHeight="false" outlineLevel="0" collapsed="false">
      <c r="A189" s="10" t="s">
        <v>221</v>
      </c>
      <c r="B189" s="34" t="n">
        <f aca="false">B169*Assumptions!$B$52</f>
        <v>0</v>
      </c>
      <c r="C189" s="34" t="n">
        <f aca="false">C169*Assumptions!$B$52</f>
        <v>40000</v>
      </c>
      <c r="D189" s="34" t="n">
        <f aca="false">D169*Assumptions!$B$52</f>
        <v>80000</v>
      </c>
      <c r="E189" s="34" t="n">
        <f aca="false">E169*Assumptions!$B$52</f>
        <v>100000</v>
      </c>
      <c r="F189" s="34" t="n">
        <f aca="false">F169*Assumptions!$B$52</f>
        <v>100000</v>
      </c>
    </row>
    <row r="190" customFormat="false" ht="15" hidden="false" customHeight="false" outlineLevel="0" collapsed="false">
      <c r="A190" s="10" t="s">
        <v>222</v>
      </c>
      <c r="B190" s="34" t="n">
        <f aca="false">B169*Assumptions!$B$53</f>
        <v>0</v>
      </c>
      <c r="C190" s="34" t="n">
        <f aca="false">MAX(0,C169-B169)*Assumptions!$B$53</f>
        <v>80000</v>
      </c>
      <c r="D190" s="34" t="n">
        <f aca="false">MAX(0,D169-C169)*Assumptions!$B$53</f>
        <v>80000</v>
      </c>
      <c r="E190" s="34" t="n">
        <f aca="false">MAX(0,E169-D169)*Assumptions!$B$53</f>
        <v>40000</v>
      </c>
      <c r="F190" s="34" t="n">
        <f aca="false">MAX(0,F169-E169)*Assumptions!$B$53</f>
        <v>0</v>
      </c>
    </row>
    <row r="191" customFormat="false" ht="15" hidden="false" customHeight="false" outlineLevel="0" collapsed="false">
      <c r="A191" s="12" t="s">
        <v>223</v>
      </c>
      <c r="B191" s="35" t="n">
        <f aca="false">SUM(B184:B190)</f>
        <v>1752400</v>
      </c>
      <c r="C191" s="35" t="n">
        <f aca="false">SUM(C184:C190)</f>
        <v>3291000</v>
      </c>
      <c r="D191" s="35" t="n">
        <f aca="false">SUM(D184:D190)</f>
        <v>3810200</v>
      </c>
      <c r="E191" s="35" t="n">
        <f aca="false">SUM(E184:E190)</f>
        <v>3864000</v>
      </c>
      <c r="F191" s="35" t="n">
        <f aca="false">SUM(F184:F190)</f>
        <v>3949000</v>
      </c>
    </row>
    <row r="192" customFormat="false" ht="15" hidden="false" customHeight="false" outlineLevel="0" collapsed="false">
      <c r="A192" s="12" t="s">
        <v>224</v>
      </c>
      <c r="B192" s="35" t="n">
        <f aca="false">B177+B183-B191</f>
        <v>-742332</v>
      </c>
      <c r="C192" s="35" t="n">
        <f aca="false">C177+C183-C191</f>
        <v>354980</v>
      </c>
      <c r="D192" s="35" t="n">
        <f aca="false">D177+D183-D191</f>
        <v>2480512</v>
      </c>
      <c r="E192" s="35" t="n">
        <f aca="false">E177+E183-E191</f>
        <v>4157520</v>
      </c>
      <c r="F192" s="35" t="n">
        <f aca="false">F177+F183-F191</f>
        <v>5257020</v>
      </c>
    </row>
    <row r="193" customFormat="false" ht="15" hidden="false" customHeight="false" outlineLevel="0" collapsed="false">
      <c r="A193" s="10" t="s">
        <v>225</v>
      </c>
      <c r="B193" s="34" t="n">
        <f aca="false">B192</f>
        <v>-742332</v>
      </c>
      <c r="C193" s="34" t="n">
        <f aca="false">B193+C192</f>
        <v>-387352</v>
      </c>
      <c r="D193" s="34" t="n">
        <f aca="false">C193+D192</f>
        <v>2093160</v>
      </c>
      <c r="E193" s="34" t="n">
        <f aca="false">D193+E192</f>
        <v>6250680</v>
      </c>
      <c r="F193" s="34" t="n">
        <f aca="false">E193+F192</f>
        <v>11507700</v>
      </c>
    </row>
    <row r="194" customFormat="false" ht="15" hidden="false" customHeight="false" outlineLevel="0" collapsed="false">
      <c r="A194" s="10" t="s">
        <v>226</v>
      </c>
      <c r="B194" s="33" t="n">
        <f aca="false">IF(B193&gt;0,1,99)</f>
        <v>99</v>
      </c>
      <c r="C194" s="33" t="n">
        <f aca="false">IF(C193&gt;0,2,99)</f>
        <v>99</v>
      </c>
      <c r="D194" s="33" t="n">
        <f aca="false">IF(D193&gt;0,3,99)</f>
        <v>3</v>
      </c>
      <c r="E194" s="33" t="n">
        <f aca="false">IF(E193&gt;0,4,99)</f>
        <v>4</v>
      </c>
      <c r="F194" s="33" t="n">
        <f aca="false">IF(F193&gt;0,5,99)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2026-10-03T05:16:26Z</dcterms:created>
  <dc:creator>openpyxl</dc:creator>
  <dc:description/>
  <dc:language>en-US</dc:language>
  <cp:lastModifiedBy/>
  <dcterms:modified xsi:type="dcterms:W3CDTF">2026-10-03T05:16:26Z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