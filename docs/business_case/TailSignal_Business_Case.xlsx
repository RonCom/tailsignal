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cale Gates" sheetId="3" state="visible" r:id="rId5"/>
    <sheet name="Assumptions" sheetId="4" state="visible" r:id="rId6"/>
    <sheet name="Mod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<sst xmlns="http://schemas.openxmlformats.org/spreadsheetml/2006/main" count="210" uniqueCount="134">
  <si>
    <t xml:space="preserve">TailSignal business case: five-year model</t>
  </si>
  <si>
    <t xml:space="preserve">Purpose: size the four monetization models and show when each product unlocks as the partner network grows.</t>
  </si>
  <si>
    <t xml:space="preserve">How to use</t>
  </si>
  <si>
    <t xml:space="preserve">1. Edit only blue cells on the Assumptions sheet. Yellow cells are the key levers.</t>
  </si>
  <si>
    <t xml:space="preserve">2. Every other number is a formula. Results for all three scenarios appear on the Summary sheet.</t>
  </si>
  <si>
    <t xml:space="preserve">3. Scale gates (when drug-safety studies become possible) come from the TailSignal analyses, not from guesses.</t>
  </si>
  <si>
    <t xml:space="preserve">Legend</t>
  </si>
  <si>
    <t xml:space="preserve">Blue text = input you can change. Black text = formula. Green text = link to another sheet. Yellow fill = key assumption.</t>
  </si>
  <si>
    <t xml:space="preserve">Important</t>
  </si>
  <si>
    <t xml:space="preserve">Prices, adoption rates, headcount and partner ramp are ILLUSTRATIVE ASSUMPTIONS for a portfolio project. Replace them with market quotes and pipeline data before any decision.</t>
  </si>
  <si>
    <t xml:space="preserve">Market-context figures are cited on the Assumptions sheet with their sources.</t>
  </si>
  <si>
    <t xml:space="preserve">Summary by scenario</t>
  </si>
  <si>
    <t xml:space="preserve">Illustrative assumptions; see Read Me.</t>
  </si>
  <si>
    <t xml:space="preserve">Measure</t>
  </si>
  <si>
    <t xml:space="preserve">Low</t>
  </si>
  <si>
    <t xml:space="preserve">Base</t>
  </si>
  <si>
    <t xml:space="preserve">High</t>
  </si>
  <si>
    <t xml:space="preserve">Partner clinics, Year 5</t>
  </si>
  <si>
    <t xml:space="preserve">Total revenue, Year 5</t>
  </si>
  <si>
    <t xml:space="preserve">EBITDA, Year 5</t>
  </si>
  <si>
    <t xml:space="preserve">EBITDA margin, Year 5</t>
  </si>
  <si>
    <t xml:space="preserve">Cumulative EBITDA, Years 1-5</t>
  </si>
  <si>
    <t xml:space="preserve">First year with positive EBITDA</t>
  </si>
  <si>
    <t xml:space="preserve">Revenue per partner clinic, Year 5</t>
  </si>
  <si>
    <t xml:space="preserve">Partner incentive per clinic (cost)</t>
  </si>
  <si>
    <t xml:space="preserve">Extra data licenses needed to break even in Year 5</t>
  </si>
  <si>
    <t xml:space="preserve">Revenue mix, Year 5 (Base)</t>
  </si>
  <si>
    <t xml:space="preserve">Revenue ($)</t>
  </si>
  <si>
    <t xml:space="preserve">Share</t>
  </si>
  <si>
    <t xml:space="preserve">Embedded analytics</t>
  </si>
  <si>
    <t xml:space="preserve">Research and insights</t>
  </si>
  <si>
    <t xml:space="preserve">Data products</t>
  </si>
  <si>
    <t xml:space="preserve">Commercial models</t>
  </si>
  <si>
    <t xml:space="preserve">Validation studies, common</t>
  </si>
  <si>
    <t xml:space="preserve">Validation studies, rare</t>
  </si>
  <si>
    <t xml:space="preserve">When each product unlocks</t>
  </si>
  <si>
    <t xml:space="preserve">Capability</t>
  </si>
  <si>
    <t xml:space="preserve">Clinics needed</t>
  </si>
  <si>
    <t xml:space="preserve">Evidence</t>
  </si>
  <si>
    <t xml:space="preserve">Clinic complication, dental and stewardship scorecards</t>
  </si>
  <si>
    <t xml:space="preserve">Works at today's 9 clinics (docs/clinic_benchmarks_results.md)</t>
  </si>
  <si>
    <t xml:space="preserve">Data licenses (privacy-safe granularity)</t>
  </si>
  <si>
    <t xml:space="preserve">Assumption; suppression 8% at 9 clinics</t>
  </si>
  <si>
    <t xml:space="preserve">Common side-effect validation studies</t>
  </si>
  <si>
    <t xml:space="preserve">~80x today's network (docs/model_a2_results.md)</t>
  </si>
  <si>
    <t xml:space="preserve">Rare side-effect validation studies</t>
  </si>
  <si>
    <t xml:space="preserve">~130x today's network (docs/model_a2_results.md)</t>
  </si>
  <si>
    <t xml:space="preserve">Assumptions</t>
  </si>
  <si>
    <t xml:space="preserve">Market context (sourced; not used in formulas)</t>
  </si>
  <si>
    <t xml:space="preserve">Item</t>
  </si>
  <si>
    <t xml:space="preserve">Value</t>
  </si>
  <si>
    <t xml:space="preserve">Source</t>
  </si>
  <si>
    <t xml:space="preserve">US veterinary practices</t>
  </si>
  <si>
    <t xml:space="preserve">AVMA 2025 Economic State of the Profession, via dvm360 (2022 count): https://www.dvm360.com/view/2025-economic-state-of-the-veterinary-profession-trends-and-opportunities-for-your-practice</t>
  </si>
  <si>
    <t xml:space="preserve">Share of practices owned by corporate groups</t>
  </si>
  <si>
    <t xml:space="preserve">Same source: corporate groups own ~30% of US practices and over half of companion-animal revenue</t>
  </si>
  <si>
    <t xml:space="preserve">US households owning a pet (millions)</t>
  </si>
  <si>
    <t xml:space="preserve">APPA, 2025: https://americanpetproducts.org/news/u.s.-pet-industry-reaches-158-billion-in-2025-poised-for-continued-growth-in-2026</t>
  </si>
  <si>
    <t xml:space="preserve">US pet industry spending, 2025 ($bn)</t>
  </si>
  <si>
    <t xml:space="preserve">APPA, 2025 (same link)</t>
  </si>
  <si>
    <t xml:space="preserve">Scenarios</t>
  </si>
  <si>
    <t xml:space="preserve">Scenario</t>
  </si>
  <si>
    <t xml:space="preserve">Partner ramp ×</t>
  </si>
  <si>
    <t xml:space="preserve">Price ×</t>
  </si>
  <si>
    <t xml:space="preserve">Note</t>
  </si>
  <si>
    <t xml:space="preserve">Multipliers applied to the base partner ramp and to every price</t>
  </si>
  <si>
    <t xml:space="preserve">Partner network (clinics sharing data, end of year)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</si>
  <si>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</si>
  <si>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</si>
  <si>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</si>
  <si>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</si>
  <si>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</si>
  <si>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Partner clinics, base case</t>
  </si>
  <si>
    <t xml:space="preserve">Today's simulated network = 9 clinics. 1,500 clinics is about 4% of US practices</t>
  </si>
  <si>
    <t xml:space="preserve">Revenue assumptions (illustrative)</t>
  </si>
  <si>
    <t xml:space="preserve">Basis</t>
  </si>
  <si>
    <t xml:space="preserve">Premium scorecard price ($ per clinic per year)</t>
  </si>
  <si>
    <t xml:space="preserve">Embedded analytics: group benchmarking beyond the free partner scorecard</t>
  </si>
  <si>
    <t xml:space="preserve">Share of partner clinics buying premium scorecards</t>
  </si>
  <si>
    <t xml:space="preserve">Assumption</t>
  </si>
  <si>
    <t xml:space="preserve">Research report average price ($)</t>
  </si>
  <si>
    <t xml:space="preserve">Research &amp; insights (e.g., oral health report)</t>
  </si>
  <si>
    <t xml:space="preserve">Data-license annual contract value ($)</t>
  </si>
  <si>
    <t xml:space="preserve">Data products: de-identified cohort, Health Index, resistance feed</t>
  </si>
  <si>
    <t xml:space="preserve">Minimum partner clinics before data licenses are sold</t>
  </si>
  <si>
    <t xml:space="preserve">Privacy: at 9 clinics 8% of pets cannot be released; more partners shrink suppression</t>
  </si>
  <si>
    <t xml:space="preserve">Scoring/API contract value ($ per client per year)</t>
  </si>
  <si>
    <t xml:space="preserve">Commercial models: drug-signal, demand-forecast scoring</t>
  </si>
  <si>
    <t xml:space="preserve">Signal-validation study price ($ per study)</t>
  </si>
  <si>
    <t xml:space="preserve">EHR cohort study for a manufacturer or regulator</t>
  </si>
  <si>
    <t xml:space="preserve">Clinics needed for common side-effect studies</t>
  </si>
  <si>
    <t xml:space="preserve">From Model A2: ~80x today's 9-clinic network (docs/model_a2_results.md)</t>
  </si>
  <si>
    <t xml:space="preserve">Clinics needed for rare side-effect studies</t>
  </si>
  <si>
    <t xml:space="preserve">From Model A2: ~130x today's 9-clinic network</t>
  </si>
  <si>
    <t xml:space="preserve">Volume by year</t>
  </si>
  <si>
    <t xml:space="preserve">Research reports sold</t>
  </si>
  <si>
    <t xml:space="preserve">Data licensees</t>
  </si>
  <si>
    <t xml:space="preserve">Sold only once the license gate is met</t>
  </si>
  <si>
    <t xml:space="preserve">Scoring/API clients</t>
  </si>
  <si>
    <t xml:space="preserve">Common side-effect studies (if gate met)</t>
  </si>
  <si>
    <t xml:space="preserve">Rare side-effect studies (if gate met)</t>
  </si>
  <si>
    <t xml:space="preserve">Cost assumptions (illustrative)</t>
  </si>
  <si>
    <t xml:space="preserve">Partner data incentive ($ per clinic per year)</t>
  </si>
  <si>
    <t xml:space="preserve">Free scorecards, integration support or rebates</t>
  </si>
  <si>
    <t xml:space="preserve">Loaded cost per employee ($ per year)</t>
  </si>
  <si>
    <t xml:space="preserve">Infrastructure, fixed ($ per year)</t>
  </si>
  <si>
    <t xml:space="preserve">Infrastructure per partner clinic ($ per year)</t>
  </si>
  <si>
    <t xml:space="preserve">Study delivery cost (% of study revenue)</t>
  </si>
  <si>
    <t xml:space="preserve">Clinical review, outcome annotation, reporting</t>
  </si>
  <si>
    <t xml:space="preserve">Headcount by year</t>
  </si>
  <si>
    <t xml:space="preserve">Team headcount (data science, engineering, partnerships, privacy)</t>
  </si>
  <si>
    <t xml:space="preserve">Five-year model by scenario ($)</t>
  </si>
  <si>
    <t xml:space="preserve">All cells are formulas driven by the Assumptions sheet.</t>
  </si>
  <si>
    <t xml:space="preserve">Low scenario</t>
  </si>
  <si>
    <t xml:space="preserve">Line</t>
  </si>
  <si>
    <t xml:space="preserve">Partner clinics</t>
  </si>
  <si>
    <t xml:space="preserve">Embedded analytics: premium scorecards</t>
  </si>
  <si>
    <t xml:space="preserve">Research and insights: reports</t>
  </si>
  <si>
    <t xml:space="preserve">Data products: licenses</t>
  </si>
  <si>
    <t xml:space="preserve">Commercial models: scoring/API contracts</t>
  </si>
  <si>
    <t xml:space="preserve">Signal-validation studies, common side effects</t>
  </si>
  <si>
    <t xml:space="preserve">Signal-validation studies, rare side effects</t>
  </si>
  <si>
    <t xml:space="preserve">Total revenue</t>
  </si>
  <si>
    <t xml:space="preserve">Partner data incentives</t>
  </si>
  <si>
    <t xml:space="preserve">Team</t>
  </si>
  <si>
    <t xml:space="preserve">Infrastructure</t>
  </si>
  <si>
    <t xml:space="preserve">Study delivery</t>
  </si>
  <si>
    <t xml:space="preserve">Total costs</t>
  </si>
  <si>
    <t xml:space="preserve">EBITDA</t>
  </si>
  <si>
    <t xml:space="preserve">EBITDA margin</t>
  </si>
  <si>
    <t xml:space="preserve">Cumulative EBITDA</t>
  </si>
  <si>
    <t xml:space="preserve">Helper: year number if EBITDA positive (else 99)</t>
  </si>
  <si>
    <t xml:space="preserve">Base scenario</t>
  </si>
  <si>
    <t xml:space="preserve">High scenario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</si>
</sst>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DF3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7C3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FCC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6" t="s">
        <v>12</v>
      </c>
    </row>
    <row r="4" customFormat="false" ht="15" hidden="false" customHeight="false" outlineLevel="0" collapsed="false">
      <c r="A4" s="7" t="s">
        <v>13</v>
      </c>
      <c r="B4" s="8" t="s">
        <v>14</v>
      </c>
      <c r="C4" s="8" t="s">
        <v>15</v>
      </c>
      <c r="D4" s="8" t="s">
        <v>16</v>
      </c>
    </row>
    <row r="5" customFormat="false" ht="15" hidden="false" customHeight="false" outlineLevel="0" collapsed="false">
      <c r="A5" s="9" t="s">
        <v>17</v>
      </c>
      <c r="B5" s="10" t="n">
        <f aca="false">Model!F6</f>
        <v>900</v>
      </c>
      <c r="C5" s="10" t="n">
        <f aca="false">Model!F26</f>
        <v>1500</v>
      </c>
      <c r="D5" s="10" t="n">
        <f aca="false">Model!F46</f>
        <v>1950</v>
      </c>
    </row>
    <row r="6" customFormat="false" ht="15" hidden="false" customHeight="false" outlineLevel="0" collapsed="false">
      <c r="A6" s="9" t="s">
        <v>18</v>
      </c>
      <c r="B6" s="11" t="n">
        <f aca="false">Model!F13</f>
        <v>2654400</v>
      </c>
      <c r="C6" s="11" t="n">
        <f aca="false">Model!F33</f>
        <v>4250000</v>
      </c>
      <c r="D6" s="11" t="n">
        <f aca="false">Model!F53</f>
        <v>5260100</v>
      </c>
    </row>
    <row r="7" customFormat="false" ht="15" hidden="false" customHeight="false" outlineLevel="0" collapsed="false">
      <c r="A7" s="9" t="s">
        <v>19</v>
      </c>
      <c r="B7" s="11" t="n">
        <f aca="false">Model!F19</f>
        <v>-1590600</v>
      </c>
      <c r="C7" s="11" t="n">
        <f aca="false">Model!F39</f>
        <v>-885000</v>
      </c>
      <c r="D7" s="11" t="n">
        <f aca="false">Model!F59</f>
        <v>-422400</v>
      </c>
    </row>
    <row r="8" customFormat="false" ht="15" hidden="false" customHeight="false" outlineLevel="0" collapsed="false">
      <c r="A8" s="9" t="s">
        <v>20</v>
      </c>
      <c r="B8" s="12" t="n">
        <f aca="false">Model!F20</f>
        <v>-0.599231464737794</v>
      </c>
      <c r="C8" s="12" t="n">
        <f aca="false">Model!F40</f>
        <v>-0.208235294117647</v>
      </c>
      <c r="D8" s="12" t="n">
        <f aca="false">Model!F60</f>
        <v>-0.0803026558430448</v>
      </c>
    </row>
    <row r="9" customFormat="false" ht="15" hidden="false" customHeight="false" outlineLevel="0" collapsed="false">
      <c r="A9" s="9" t="s">
        <v>21</v>
      </c>
      <c r="B9" s="11" t="n">
        <f aca="false">Model!F21</f>
        <v>-6865558</v>
      </c>
      <c r="C9" s="11" t="n">
        <f aca="false">Model!F41</f>
        <v>-5141850</v>
      </c>
      <c r="D9" s="11" t="n">
        <f aca="false">Model!F61</f>
        <v>-3958038</v>
      </c>
    </row>
    <row r="10" customFormat="false" ht="15" hidden="false" customHeight="false" outlineLevel="0" collapsed="false">
      <c r="A10" s="9" t="s">
        <v>22</v>
      </c>
      <c r="B10" s="13" t="str">
        <f aca="false">IF(MIN(Model!B22:F22)=99,"Not within 5 years","Year "&amp;MIN(Model!B22:F22))</f>
        <v>Not within 5 years</v>
      </c>
      <c r="C10" s="13" t="str">
        <f aca="false">IF(MIN(Model!B42:F42)=99,"Not within 5 years","Year "&amp;MIN(Model!B42:F42))</f>
        <v>Not within 5 years</v>
      </c>
      <c r="D10" s="13" t="str">
        <f aca="false">IF(MIN(Model!B62:F62)=99,"Not within 5 years","Year "&amp;MIN(Model!B62:F62))</f>
        <v>Not within 5 years</v>
      </c>
    </row>
    <row r="11" customFormat="false" ht="15" hidden="false" customHeight="false" outlineLevel="0" collapsed="false">
      <c r="A11" s="9" t="s">
        <v>23</v>
      </c>
      <c r="B11" s="14" t="n">
        <f aca="false">IF(Model!F6=0,0,Model!F13/Model!F6)</f>
        <v>2949.33333333333</v>
      </c>
      <c r="C11" s="14" t="n">
        <f aca="false">IF(Model!F26=0,0,Model!F33/Model!F26)</f>
        <v>2833.33333333333</v>
      </c>
      <c r="D11" s="14" t="n">
        <f aca="false">IF(Model!F46=0,0,Model!F53/Model!F46)</f>
        <v>2697.48717948718</v>
      </c>
    </row>
    <row r="12" customFormat="false" ht="15" hidden="false" customHeight="false" outlineLevel="0" collapsed="false">
      <c r="A12" s="9" t="s">
        <v>24</v>
      </c>
      <c r="B12" s="11" t="n">
        <f aca="false">Assumptions!$B$41</f>
        <v>1000</v>
      </c>
      <c r="C12" s="11" t="n">
        <f aca="false">Assumptions!$B$41</f>
        <v>1000</v>
      </c>
      <c r="D12" s="11" t="n">
        <f aca="false">Assumptions!$B$41</f>
        <v>1000</v>
      </c>
    </row>
    <row r="13" customFormat="false" ht="15" hidden="false" customHeight="false" outlineLevel="0" collapsed="false">
      <c r="A13" s="9" t="s">
        <v>25</v>
      </c>
      <c r="B13" s="15" t="n">
        <f aca="false">ROUNDUP(MAX(0,-Model!F19)/(Assumptions!$B$25*Assumptions!$C$12),0)</f>
        <v>17</v>
      </c>
      <c r="C13" s="15" t="n">
        <f aca="false">ROUNDUP(MAX(0,-Model!F39)/(Assumptions!$B$25*Assumptions!$C$13),0)</f>
        <v>8</v>
      </c>
      <c r="D13" s="15" t="n">
        <f aca="false">ROUNDUP(MAX(0,-Model!F59)/(Assumptions!$B$25*Assumptions!$C$14),0)</f>
        <v>4</v>
      </c>
    </row>
    <row r="15" customFormat="false" ht="15" hidden="false" customHeight="false" outlineLevel="0" collapsed="false">
      <c r="A15" s="7" t="s">
        <v>26</v>
      </c>
      <c r="B15" s="8" t="s">
        <v>27</v>
      </c>
      <c r="C15" s="8" t="s">
        <v>28</v>
      </c>
    </row>
    <row r="16" customFormat="false" ht="15" hidden="false" customHeight="false" outlineLevel="0" collapsed="false">
      <c r="A16" s="9" t="s">
        <v>29</v>
      </c>
      <c r="B16" s="11" t="n">
        <f aca="false">Model!F27</f>
        <v>1080000</v>
      </c>
      <c r="C16" s="16" t="n">
        <f aca="false">IF(SUM($B$16:$B$21)=0,0,B16/SUM($B$16:$B$21))</f>
        <v>0.254117647058824</v>
      </c>
    </row>
    <row r="17" customFormat="false" ht="15" hidden="false" customHeight="false" outlineLevel="0" collapsed="false">
      <c r="A17" s="9" t="s">
        <v>30</v>
      </c>
      <c r="B17" s="11" t="n">
        <f aca="false">Model!F28</f>
        <v>400000</v>
      </c>
      <c r="C17" s="16" t="n">
        <f aca="false">IF(SUM($B$16:$B$21)=0,0,B17/SUM($B$16:$B$21))</f>
        <v>0.0941176470588235</v>
      </c>
    </row>
    <row r="18" customFormat="false" ht="15" hidden="false" customHeight="false" outlineLevel="0" collapsed="false">
      <c r="A18" s="9" t="s">
        <v>31</v>
      </c>
      <c r="B18" s="11" t="n">
        <f aca="false">Model!F29</f>
        <v>960000</v>
      </c>
      <c r="C18" s="16" t="n">
        <f aca="false">IF(SUM($B$16:$B$21)=0,0,B18/SUM($B$16:$B$21))</f>
        <v>0.225882352941176</v>
      </c>
    </row>
    <row r="19" customFormat="false" ht="15" hidden="false" customHeight="false" outlineLevel="0" collapsed="false">
      <c r="A19" s="9" t="s">
        <v>32</v>
      </c>
      <c r="B19" s="11" t="n">
        <f aca="false">Model!F30</f>
        <v>560000</v>
      </c>
      <c r="C19" s="16" t="n">
        <f aca="false">IF(SUM($B$16:$B$21)=0,0,B19/SUM($B$16:$B$21))</f>
        <v>0.131764705882353</v>
      </c>
    </row>
    <row r="20" customFormat="false" ht="15" hidden="false" customHeight="false" outlineLevel="0" collapsed="false">
      <c r="A20" s="9" t="s">
        <v>33</v>
      </c>
      <c r="B20" s="11" t="n">
        <f aca="false">Model!F31</f>
        <v>750000</v>
      </c>
      <c r="C20" s="16" t="n">
        <f aca="false">IF(SUM($B$16:$B$21)=0,0,B20/SUM($B$16:$B$21))</f>
        <v>0.176470588235294</v>
      </c>
    </row>
    <row r="21" customFormat="false" ht="15" hidden="false" customHeight="false" outlineLevel="0" collapsed="false">
      <c r="A21" s="9" t="s">
        <v>34</v>
      </c>
      <c r="B21" s="11" t="n">
        <f aca="false">Model!F32</f>
        <v>500000</v>
      </c>
      <c r="C21" s="16" t="n">
        <f aca="false">IF(SUM($B$16:$B$21)=0,0,B21/SUM($B$16:$B$21))</f>
        <v>0.117647058823529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5" t="s">
        <v>35</v>
      </c>
    </row>
    <row r="3" customFormat="false" ht="15" hidden="false" customHeight="false" outlineLevel="0" collapsed="false">
      <c r="A3" s="7" t="s">
        <v>36</v>
      </c>
      <c r="B3" s="8" t="s">
        <v>37</v>
      </c>
      <c r="C3" s="8" t="s">
        <v>14</v>
      </c>
      <c r="D3" s="8" t="s">
        <v>15</v>
      </c>
      <c r="E3" s="8" t="s">
        <v>16</v>
      </c>
      <c r="F3" s="8" t="s">
        <v>38</v>
      </c>
    </row>
    <row r="4" customFormat="false" ht="15" hidden="false" customHeight="false" outlineLevel="0" collapsed="false">
      <c r="A4" s="9" t="s">
        <v>39</v>
      </c>
      <c r="B4" s="17" t="n">
        <v>9</v>
      </c>
      <c r="C4" s="18" t="str">
        <f aca="false">IF(Model!B6&gt;=$B4,"Year 1",IF(Model!C6&gt;=$B4,"Year 2",IF(Model!D6&gt;=$B4,"Year 3",IF(Model!E6&gt;=$B4,"Year 4",IF(Model!F6&gt;=$B4,"Year 5","Later")))))</f>
        <v>Year 1</v>
      </c>
      <c r="D4" s="18" t="str">
        <f aca="false">IF(Model!B26&gt;=$B4,"Year 1",IF(Model!C26&gt;=$B4,"Year 2",IF(Model!D26&gt;=$B4,"Year 3",IF(Model!E26&gt;=$B4,"Year 4",IF(Model!F26&gt;=$B4,"Year 5","Later")))))</f>
        <v>Year 1</v>
      </c>
      <c r="E4" s="18" t="str">
        <f aca="false">IF(Model!B46&gt;=$B4,"Year 1",IF(Model!C46&gt;=$B4,"Year 2",IF(Model!D46&gt;=$B4,"Year 3",IF(Model!E46&gt;=$B4,"Year 4",IF(Model!F46&gt;=$B4,"Year 5","Later")))))</f>
        <v>Year 1</v>
      </c>
      <c r="F4" s="19" t="s">
        <v>40</v>
      </c>
    </row>
    <row r="5" customFormat="false" ht="15" hidden="false" customHeight="false" outlineLevel="0" collapsed="false">
      <c r="A5" s="9" t="s">
        <v>41</v>
      </c>
      <c r="B5" s="10" t="n">
        <f aca="false">Assumptions!$B$26</f>
        <v>100</v>
      </c>
      <c r="C5" s="18" t="str">
        <f aca="false">IF(Model!B6&gt;=$B5,"Year 1",IF(Model!C6&gt;=$B5,"Year 2",IF(Model!D6&gt;=$B5,"Year 3",IF(Model!E6&gt;=$B5,"Year 4",IF(Model!F6&gt;=$B5,"Year 5","Later")))))</f>
        <v>Year 3</v>
      </c>
      <c r="D5" s="18" t="str">
        <f aca="false">IF(Model!B26&gt;=$B5,"Year 1",IF(Model!C26&gt;=$B5,"Year 2",IF(Model!D26&gt;=$B5,"Year 3",IF(Model!E26&gt;=$B5,"Year 4",IF(Model!F26&gt;=$B5,"Year 5","Later")))))</f>
        <v>Year 2</v>
      </c>
      <c r="E5" s="18" t="str">
        <f aca="false">IF(Model!B46&gt;=$B5,"Year 1",IF(Model!C46&gt;=$B5,"Year 2",IF(Model!D46&gt;=$B5,"Year 3",IF(Model!E46&gt;=$B5,"Year 4",IF(Model!F46&gt;=$B5,"Year 5","Later")))))</f>
        <v>Year 2</v>
      </c>
      <c r="F5" s="19" t="s">
        <v>42</v>
      </c>
    </row>
    <row r="6" customFormat="false" ht="15" hidden="false" customHeight="false" outlineLevel="0" collapsed="false">
      <c r="A6" s="9" t="s">
        <v>43</v>
      </c>
      <c r="B6" s="10" t="n">
        <f aca="false">Assumptions!$B$29</f>
        <v>720</v>
      </c>
      <c r="C6" s="18" t="str">
        <f aca="false">IF(Model!B6&gt;=$B6,"Year 1",IF(Model!C6&gt;=$B6,"Year 2",IF(Model!D6&gt;=$B6,"Year 3",IF(Model!E6&gt;=$B6,"Year 4",IF(Model!F6&gt;=$B6,"Year 5","Later")))))</f>
        <v>Year 5</v>
      </c>
      <c r="D6" s="18" t="str">
        <f aca="false">IF(Model!B26&gt;=$B6,"Year 1",IF(Model!C26&gt;=$B6,"Year 2",IF(Model!D26&gt;=$B6,"Year 3",IF(Model!E26&gt;=$B6,"Year 4",IF(Model!F26&gt;=$B6,"Year 5","Later")))))</f>
        <v>Year 4</v>
      </c>
      <c r="E6" s="18" t="str">
        <f aca="false">IF(Model!B46&gt;=$B6,"Year 1",IF(Model!C46&gt;=$B6,"Year 2",IF(Model!D46&gt;=$B6,"Year 3",IF(Model!E46&gt;=$B6,"Year 4",IF(Model!F46&gt;=$B6,"Year 5","Later")))))</f>
        <v>Year 4</v>
      </c>
      <c r="F6" s="19" t="s">
        <v>44</v>
      </c>
    </row>
    <row r="7" customFormat="false" ht="15" hidden="false" customHeight="false" outlineLevel="0" collapsed="false">
      <c r="A7" s="9" t="s">
        <v>45</v>
      </c>
      <c r="B7" s="10" t="n">
        <f aca="false">Assumptions!$B$30</f>
        <v>1170</v>
      </c>
      <c r="C7" s="18" t="str">
        <f aca="false">IF(Model!B6&gt;=$B7,"Year 1",IF(Model!C6&gt;=$B7,"Year 2",IF(Model!D6&gt;=$B7,"Year 3",IF(Model!E6&gt;=$B7,"Year 4",IF(Model!F6&gt;=$B7,"Year 5","Later")))))</f>
        <v>Later</v>
      </c>
      <c r="D7" s="18" t="str">
        <f aca="false">IF(Model!B26&gt;=$B7,"Year 1",IF(Model!C26&gt;=$B7,"Year 2",IF(Model!D26&gt;=$B7,"Year 3",IF(Model!E26&gt;=$B7,"Year 4",IF(Model!F26&gt;=$B7,"Year 5","Later")))))</f>
        <v>Year 5</v>
      </c>
      <c r="E7" s="18" t="str">
        <f aca="false">IF(Model!B46&gt;=$B7,"Year 1",IF(Model!C46&gt;=$B7,"Year 2",IF(Model!D46&gt;=$B7,"Year 3",IF(Model!E46&gt;=$B7,"Year 4",IF(Model!F46&gt;=$B7,"Year 5","Later")))))</f>
        <v>Year 4</v>
      </c>
      <c r="F7" s="1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5" t="s">
        <v>47</v>
      </c>
    </row>
    <row r="3" customFormat="false" ht="15" hidden="false" customHeight="false" outlineLevel="0" collapsed="false">
      <c r="A3" s="20" t="s">
        <v>48</v>
      </c>
      <c r="B3" s="21"/>
      <c r="C3" s="21"/>
      <c r="D3" s="21"/>
      <c r="E3" s="21"/>
      <c r="F3" s="21"/>
      <c r="G3" s="21"/>
    </row>
    <row r="4" customFormat="false" ht="15" hidden="false" customHeight="false" outlineLevel="0" collapsed="false">
      <c r="A4" s="7" t="s">
        <v>49</v>
      </c>
      <c r="B4" s="8" t="s">
        <v>50</v>
      </c>
      <c r="C4" s="8"/>
      <c r="D4" s="8"/>
      <c r="E4" s="8"/>
      <c r="F4" s="8"/>
      <c r="G4" s="8" t="s">
        <v>51</v>
      </c>
    </row>
    <row r="5" customFormat="false" ht="35.05" hidden="false" customHeight="false" outlineLevel="0" collapsed="false">
      <c r="A5" s="9" t="s">
        <v>52</v>
      </c>
      <c r="B5" s="17" t="n">
        <v>34000</v>
      </c>
      <c r="G5" s="22" t="s">
        <v>53</v>
      </c>
    </row>
    <row r="6" customFormat="false" ht="23.85" hidden="false" customHeight="false" outlineLevel="0" collapsed="false">
      <c r="A6" s="9" t="s">
        <v>54</v>
      </c>
      <c r="B6" s="23" t="n">
        <v>0.3</v>
      </c>
      <c r="G6" s="22" t="s">
        <v>55</v>
      </c>
    </row>
    <row r="7" customFormat="false" ht="23.85" hidden="false" customHeight="false" outlineLevel="0" collapsed="false">
      <c r="A7" s="9" t="s">
        <v>56</v>
      </c>
      <c r="B7" s="17" t="n">
        <v>95</v>
      </c>
      <c r="G7" s="22" t="s">
        <v>57</v>
      </c>
    </row>
    <row r="8" customFormat="false" ht="15" hidden="false" customHeight="false" outlineLevel="0" collapsed="false">
      <c r="A8" s="9" t="s">
        <v>58</v>
      </c>
      <c r="B8" s="17" t="n">
        <v>158</v>
      </c>
      <c r="G8" s="22" t="s">
        <v>59</v>
      </c>
    </row>
    <row r="10" customFormat="false" ht="15" hidden="false" customHeight="false" outlineLevel="0" collapsed="false">
      <c r="A10" s="20" t="s">
        <v>60</v>
      </c>
      <c r="B10" s="21"/>
      <c r="C10" s="21"/>
      <c r="D10" s="21"/>
      <c r="E10" s="21"/>
      <c r="F10" s="21"/>
      <c r="G10" s="21"/>
    </row>
    <row r="11" customFormat="false" ht="15" hidden="false" customHeight="false" outlineLevel="0" collapsed="false">
      <c r="A11" s="7" t="s">
        <v>61</v>
      </c>
      <c r="B11" s="8" t="s">
        <v>62</v>
      </c>
      <c r="C11" s="8" t="s">
        <v>63</v>
      </c>
      <c r="D11" s="8"/>
      <c r="E11" s="8"/>
      <c r="F11" s="8"/>
      <c r="G11" s="8" t="s">
        <v>64</v>
      </c>
    </row>
    <row r="12" customFormat="false" ht="15" hidden="false" customHeight="false" outlineLevel="0" collapsed="false">
      <c r="A12" s="24" t="s">
        <v>14</v>
      </c>
      <c r="B12" s="25" t="n">
        <v>0.6</v>
      </c>
      <c r="C12" s="25" t="n">
        <v>0.8</v>
      </c>
      <c r="G12" s="19" t="s">
        <v>65</v>
      </c>
    </row>
    <row r="13" customFormat="false" ht="15" hidden="false" customHeight="false" outlineLevel="0" collapsed="false">
      <c r="A13" s="24" t="s">
        <v>15</v>
      </c>
      <c r="B13" s="25" t="n">
        <v>1</v>
      </c>
      <c r="C13" s="25" t="n">
        <v>1</v>
      </c>
    </row>
    <row r="14" customFormat="false" ht="15" hidden="false" customHeight="false" outlineLevel="0" collapsed="false">
      <c r="A14" s="24" t="s">
        <v>16</v>
      </c>
      <c r="B14" s="25" t="n">
        <v>1.3</v>
      </c>
      <c r="C14" s="25" t="n">
        <v>1.15</v>
      </c>
    </row>
    <row r="16" customFormat="false" ht="15" hidden="false" customHeight="false" outlineLevel="0" collapsed="false">
      <c r="A16" s="20" t="s">
        <v>66</v>
      </c>
      <c r="B16" s="21"/>
      <c r="C16" s="21"/>
      <c r="D16" s="21"/>
      <c r="E16" s="21"/>
      <c r="F16" s="21"/>
      <c r="G16" s="21"/>
    </row>
    <row r="17" customFormat="false" ht="15" hidden="false" customHeight="false" outlineLevel="0" collapsed="false">
      <c r="A17" s="7" t="s">
        <v>49</v>
      </c>
      <c r="B17" s="8" t="s">
        <v>67</v>
      </c>
      <c r="C17" s="8" t="s">
        <v>68</v>
      </c>
      <c r="D17" s="8" t="s">
        <v>69</v>
      </c>
      <c r="E17" s="8" t="s">
        <v>70</v>
      </c>
      <c r="F17" s="8" t="s">
        <v>71</v>
      </c>
      <c r="G17" s="8" t="s">
        <v>64</v>
      </c>
    </row>
    <row r="18" customFormat="false" ht="15" hidden="false" customHeight="false" outlineLevel="0" collapsed="false">
      <c r="A18" s="9" t="s">
        <v>72</v>
      </c>
      <c r="B18" s="26" t="n">
        <v>25</v>
      </c>
      <c r="C18" s="26" t="n">
        <v>120</v>
      </c>
      <c r="D18" s="26" t="n">
        <v>400</v>
      </c>
      <c r="E18" s="26" t="n">
        <v>900</v>
      </c>
      <c r="F18" s="26" t="n">
        <v>1500</v>
      </c>
      <c r="G18" s="19" t="s">
        <v>73</v>
      </c>
    </row>
    <row r="20" customFormat="false" ht="15" hidden="false" customHeight="false" outlineLevel="0" collapsed="false">
      <c r="A20" s="20" t="s">
        <v>74</v>
      </c>
      <c r="B20" s="21"/>
      <c r="C20" s="21"/>
      <c r="D20" s="21"/>
      <c r="E20" s="21"/>
      <c r="F20" s="21"/>
      <c r="G20" s="21"/>
    </row>
    <row r="21" customFormat="false" ht="15" hidden="false" customHeight="false" outlineLevel="0" collapsed="false">
      <c r="A21" s="7" t="s">
        <v>49</v>
      </c>
      <c r="B21" s="8" t="s">
        <v>50</v>
      </c>
      <c r="C21" s="8"/>
      <c r="D21" s="8"/>
      <c r="E21" s="8"/>
      <c r="F21" s="8"/>
      <c r="G21" s="8" t="s">
        <v>75</v>
      </c>
    </row>
    <row r="22" customFormat="false" ht="15" hidden="false" customHeight="false" outlineLevel="0" collapsed="false">
      <c r="A22" s="9" t="s">
        <v>76</v>
      </c>
      <c r="B22" s="27" t="n">
        <v>1800</v>
      </c>
      <c r="G22" s="19" t="s">
        <v>77</v>
      </c>
    </row>
    <row r="23" customFormat="false" ht="15" hidden="false" customHeight="false" outlineLevel="0" collapsed="false">
      <c r="A23" s="9" t="s">
        <v>78</v>
      </c>
      <c r="B23" s="23" t="n">
        <v>0.4</v>
      </c>
      <c r="G23" s="19" t="s">
        <v>79</v>
      </c>
    </row>
    <row r="24" customFormat="false" ht="15" hidden="false" customHeight="false" outlineLevel="0" collapsed="false">
      <c r="A24" s="9" t="s">
        <v>80</v>
      </c>
      <c r="B24" s="28" t="n">
        <v>40000</v>
      </c>
      <c r="G24" s="19" t="s">
        <v>81</v>
      </c>
    </row>
    <row r="25" customFormat="false" ht="15" hidden="false" customHeight="false" outlineLevel="0" collapsed="false">
      <c r="A25" s="9" t="s">
        <v>82</v>
      </c>
      <c r="B25" s="27" t="n">
        <v>120000</v>
      </c>
      <c r="G25" s="19" t="s">
        <v>83</v>
      </c>
    </row>
    <row r="26" customFormat="false" ht="15" hidden="false" customHeight="false" outlineLevel="0" collapsed="false">
      <c r="A26" s="9" t="s">
        <v>84</v>
      </c>
      <c r="B26" s="17" t="n">
        <v>100</v>
      </c>
      <c r="G26" s="19" t="s">
        <v>85</v>
      </c>
    </row>
    <row r="27" customFormat="false" ht="15" hidden="false" customHeight="false" outlineLevel="0" collapsed="false">
      <c r="A27" s="9" t="s">
        <v>86</v>
      </c>
      <c r="B27" s="28" t="n">
        <v>80000</v>
      </c>
      <c r="G27" s="19" t="s">
        <v>87</v>
      </c>
    </row>
    <row r="28" customFormat="false" ht="15" hidden="false" customHeight="false" outlineLevel="0" collapsed="false">
      <c r="A28" s="9" t="s">
        <v>88</v>
      </c>
      <c r="B28" s="27" t="n">
        <v>250000</v>
      </c>
      <c r="G28" s="19" t="s">
        <v>89</v>
      </c>
    </row>
    <row r="29" customFormat="false" ht="15" hidden="false" customHeight="false" outlineLevel="0" collapsed="false">
      <c r="A29" s="9" t="s">
        <v>90</v>
      </c>
      <c r="B29" s="17" t="n">
        <v>720</v>
      </c>
      <c r="G29" s="19" t="s">
        <v>91</v>
      </c>
    </row>
    <row r="30" customFormat="false" ht="15" hidden="false" customHeight="false" outlineLevel="0" collapsed="false">
      <c r="A30" s="9" t="s">
        <v>92</v>
      </c>
      <c r="B30" s="17" t="n">
        <v>1170</v>
      </c>
      <c r="G30" s="19" t="s">
        <v>93</v>
      </c>
    </row>
    <row r="32" customFormat="false" ht="15" hidden="false" customHeight="false" outlineLevel="0" collapsed="false">
      <c r="A32" s="7" t="s">
        <v>94</v>
      </c>
      <c r="B32" s="8" t="s">
        <v>67</v>
      </c>
      <c r="C32" s="8" t="s">
        <v>68</v>
      </c>
      <c r="D32" s="8" t="s">
        <v>69</v>
      </c>
      <c r="E32" s="8" t="s">
        <v>70</v>
      </c>
      <c r="F32" s="8" t="s">
        <v>71</v>
      </c>
      <c r="G32" s="8" t="s">
        <v>64</v>
      </c>
    </row>
    <row r="33" customFormat="false" ht="15" hidden="false" customHeight="false" outlineLevel="0" collapsed="false">
      <c r="A33" s="9" t="s">
        <v>95</v>
      </c>
      <c r="B33" s="17" t="n">
        <v>2</v>
      </c>
      <c r="C33" s="17" t="n">
        <v>4</v>
      </c>
      <c r="D33" s="17" t="n">
        <v>6</v>
      </c>
      <c r="E33" s="17" t="n">
        <v>8</v>
      </c>
      <c r="F33" s="17" t="n">
        <v>10</v>
      </c>
    </row>
    <row r="34" customFormat="false" ht="15" hidden="false" customHeight="false" outlineLevel="0" collapsed="false">
      <c r="A34" s="9" t="s">
        <v>96</v>
      </c>
      <c r="B34" s="17" t="n">
        <v>0</v>
      </c>
      <c r="C34" s="17" t="n">
        <v>2</v>
      </c>
      <c r="D34" s="17" t="n">
        <v>4</v>
      </c>
      <c r="E34" s="17" t="n">
        <v>6</v>
      </c>
      <c r="F34" s="17" t="n">
        <v>8</v>
      </c>
      <c r="G34" s="19" t="s">
        <v>97</v>
      </c>
    </row>
    <row r="35" customFormat="false" ht="15" hidden="false" customHeight="false" outlineLevel="0" collapsed="false">
      <c r="A35" s="9" t="s">
        <v>98</v>
      </c>
      <c r="B35" s="17" t="n">
        <v>0</v>
      </c>
      <c r="C35" s="17" t="n">
        <v>1</v>
      </c>
      <c r="D35" s="17" t="n">
        <v>3</v>
      </c>
      <c r="E35" s="17" t="n">
        <v>5</v>
      </c>
      <c r="F35" s="17" t="n">
        <v>7</v>
      </c>
    </row>
    <row r="36" customFormat="false" ht="15" hidden="false" customHeight="false" outlineLevel="0" collapsed="false">
      <c r="A36" s="9" t="s">
        <v>99</v>
      </c>
      <c r="B36" s="17" t="n">
        <v>0</v>
      </c>
      <c r="C36" s="17" t="n">
        <v>1</v>
      </c>
      <c r="D36" s="17" t="n">
        <v>2</v>
      </c>
      <c r="E36" s="17" t="n">
        <v>2</v>
      </c>
      <c r="F36" s="17" t="n">
        <v>3</v>
      </c>
    </row>
    <row r="37" customFormat="false" ht="15" hidden="false" customHeight="false" outlineLevel="0" collapsed="false">
      <c r="A37" s="9" t="s">
        <v>100</v>
      </c>
      <c r="B37" s="17" t="n">
        <v>0</v>
      </c>
      <c r="C37" s="17" t="n">
        <v>0</v>
      </c>
      <c r="D37" s="17" t="n">
        <v>1</v>
      </c>
      <c r="E37" s="17" t="n">
        <v>1</v>
      </c>
      <c r="F37" s="17" t="n">
        <v>2</v>
      </c>
    </row>
    <row r="39" customFormat="false" ht="15" hidden="false" customHeight="false" outlineLevel="0" collapsed="false">
      <c r="A39" s="20" t="s">
        <v>101</v>
      </c>
      <c r="B39" s="21"/>
      <c r="C39" s="21"/>
      <c r="D39" s="21"/>
      <c r="E39" s="21"/>
      <c r="F39" s="21"/>
      <c r="G39" s="21"/>
    </row>
    <row r="40" customFormat="false" ht="15" hidden="false" customHeight="false" outlineLevel="0" collapsed="false">
      <c r="A40" s="7" t="s">
        <v>49</v>
      </c>
      <c r="B40" s="8" t="s">
        <v>50</v>
      </c>
      <c r="C40" s="8"/>
      <c r="D40" s="8"/>
      <c r="E40" s="8"/>
      <c r="F40" s="8"/>
      <c r="G40" s="8" t="s">
        <v>75</v>
      </c>
    </row>
    <row r="41" customFormat="false" ht="15" hidden="false" customHeight="false" outlineLevel="0" collapsed="false">
      <c r="A41" s="9" t="s">
        <v>102</v>
      </c>
      <c r="B41" s="27" t="n">
        <v>1000</v>
      </c>
      <c r="G41" s="19" t="s">
        <v>103</v>
      </c>
    </row>
    <row r="42" customFormat="false" ht="15" hidden="false" customHeight="false" outlineLevel="0" collapsed="false">
      <c r="A42" s="9" t="s">
        <v>104</v>
      </c>
      <c r="B42" s="28" t="n">
        <v>200000</v>
      </c>
    </row>
    <row r="43" customFormat="false" ht="15" hidden="false" customHeight="false" outlineLevel="0" collapsed="false">
      <c r="A43" s="9" t="s">
        <v>105</v>
      </c>
      <c r="B43" s="28" t="n">
        <v>60000</v>
      </c>
    </row>
    <row r="44" customFormat="false" ht="15" hidden="false" customHeight="false" outlineLevel="0" collapsed="false">
      <c r="A44" s="9" t="s">
        <v>106</v>
      </c>
      <c r="B44" s="28" t="n">
        <v>50</v>
      </c>
    </row>
    <row r="45" customFormat="false" ht="15" hidden="false" customHeight="false" outlineLevel="0" collapsed="false">
      <c r="A45" s="9" t="s">
        <v>107</v>
      </c>
      <c r="B45" s="23" t="n">
        <v>0.4</v>
      </c>
      <c r="G45" s="19" t="s">
        <v>108</v>
      </c>
    </row>
    <row r="47" customFormat="false" ht="15" hidden="false" customHeight="false" outlineLevel="0" collapsed="false">
      <c r="A47" s="7" t="s">
        <v>109</v>
      </c>
      <c r="B47" s="8" t="s">
        <v>67</v>
      </c>
      <c r="C47" s="8" t="s">
        <v>68</v>
      </c>
      <c r="D47" s="8" t="s">
        <v>69</v>
      </c>
      <c r="E47" s="8" t="s">
        <v>70</v>
      </c>
      <c r="F47" s="8" t="s">
        <v>71</v>
      </c>
      <c r="G47" s="8" t="s">
        <v>64</v>
      </c>
    </row>
    <row r="48" customFormat="false" ht="15" hidden="false" customHeight="false" outlineLevel="0" collapsed="false">
      <c r="A48" s="9" t="s">
        <v>110</v>
      </c>
      <c r="B48" s="26" t="n">
        <v>4</v>
      </c>
      <c r="C48" s="26" t="n">
        <v>7</v>
      </c>
      <c r="D48" s="26" t="n">
        <v>10</v>
      </c>
      <c r="E48" s="26" t="n">
        <v>13</v>
      </c>
      <c r="F48" s="26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5" t="s">
        <v>111</v>
      </c>
    </row>
    <row r="2" customFormat="false" ht="15" hidden="false" customHeight="false" outlineLevel="0" collapsed="false">
      <c r="A2" s="19" t="s">
        <v>112</v>
      </c>
    </row>
    <row r="4" customFormat="false" ht="15" hidden="false" customHeight="false" outlineLevel="0" collapsed="false">
      <c r="A4" s="20" t="s">
        <v>113</v>
      </c>
      <c r="B4" s="21"/>
      <c r="C4" s="21"/>
      <c r="D4" s="21"/>
      <c r="E4" s="21"/>
      <c r="F4" s="21"/>
    </row>
    <row r="5" customFormat="false" ht="15" hidden="false" customHeight="false" outlineLevel="0" collapsed="false">
      <c r="A5" s="7" t="s">
        <v>114</v>
      </c>
      <c r="B5" s="8" t="s">
        <v>67</v>
      </c>
      <c r="C5" s="8" t="s">
        <v>68</v>
      </c>
      <c r="D5" s="8" t="s">
        <v>69</v>
      </c>
      <c r="E5" s="8" t="s">
        <v>70</v>
      </c>
      <c r="F5" s="8" t="s">
        <v>71</v>
      </c>
    </row>
    <row r="6" customFormat="false" ht="15" hidden="false" customHeight="false" outlineLevel="0" collapsed="false">
      <c r="A6" s="9" t="s">
        <v>115</v>
      </c>
      <c r="B6" s="15" t="n">
        <f aca="false">ROUND(Assumptions!B$18*Assumptions!$B$12,0)</f>
        <v>15</v>
      </c>
      <c r="C6" s="15" t="n">
        <f aca="false">ROUND(Assumptions!C$18*Assumptions!$B$12,0)</f>
        <v>72</v>
      </c>
      <c r="D6" s="15" t="n">
        <f aca="false">ROUND(Assumptions!D$18*Assumptions!$B$12,0)</f>
        <v>240</v>
      </c>
      <c r="E6" s="15" t="n">
        <f aca="false">ROUND(Assumptions!E$18*Assumptions!$B$12,0)</f>
        <v>540</v>
      </c>
      <c r="F6" s="15" t="n">
        <f aca="false">ROUND(Assumptions!F$18*Assumptions!$B$12,0)</f>
        <v>900</v>
      </c>
    </row>
    <row r="7" customFormat="false" ht="15" hidden="false" customHeight="false" outlineLevel="0" collapsed="false">
      <c r="A7" s="9" t="s">
        <v>116</v>
      </c>
      <c r="B7" s="14" t="n">
        <f aca="false">B6*Assumptions!$B$23*Assumptions!$B$22*Assumptions!$C$12</f>
        <v>8640</v>
      </c>
      <c r="C7" s="14" t="n">
        <f aca="false">C6*Assumptions!$B$23*Assumptions!$B$22*Assumptions!$C$12</f>
        <v>41472</v>
      </c>
      <c r="D7" s="14" t="n">
        <f aca="false">D6*Assumptions!$B$23*Assumptions!$B$22*Assumptions!$C$12</f>
        <v>138240</v>
      </c>
      <c r="E7" s="14" t="n">
        <f aca="false">E6*Assumptions!$B$23*Assumptions!$B$22*Assumptions!$C$12</f>
        <v>311040</v>
      </c>
      <c r="F7" s="14" t="n">
        <f aca="false">F6*Assumptions!$B$23*Assumptions!$B$22*Assumptions!$C$12</f>
        <v>518400</v>
      </c>
    </row>
    <row r="8" customFormat="false" ht="15" hidden="false" customHeight="false" outlineLevel="0" collapsed="false">
      <c r="A8" s="9" t="s">
        <v>117</v>
      </c>
      <c r="B8" s="14" t="n">
        <f aca="false">Assumptions!B$33*Assumptions!$B$24*Assumptions!$C$12</f>
        <v>64000</v>
      </c>
      <c r="C8" s="14" t="n">
        <f aca="false">Assumptions!C$33*Assumptions!$B$24*Assumptions!$C$12</f>
        <v>128000</v>
      </c>
      <c r="D8" s="14" t="n">
        <f aca="false">Assumptions!D$33*Assumptions!$B$24*Assumptions!$C$12</f>
        <v>192000</v>
      </c>
      <c r="E8" s="14" t="n">
        <f aca="false">Assumptions!E$33*Assumptions!$B$24*Assumptions!$C$12</f>
        <v>256000</v>
      </c>
      <c r="F8" s="14" t="n">
        <f aca="false">Assumptions!F$33*Assumptions!$B$24*Assumptions!$C$12</f>
        <v>320000</v>
      </c>
    </row>
    <row r="9" customFormat="false" ht="15" hidden="false" customHeight="false" outlineLevel="0" collapsed="false">
      <c r="A9" s="9" t="s">
        <v>118</v>
      </c>
      <c r="B9" s="14" t="n">
        <f aca="false">IF(B6&gt;=Assumptions!$B$26,Assumptions!B$34*Assumptions!$B$25*Assumptions!$C$12,0)</f>
        <v>0</v>
      </c>
      <c r="C9" s="14" t="n">
        <f aca="false">IF(C6&gt;=Assumptions!$B$26,Assumptions!C$34*Assumptions!$B$25*Assumptions!$C$12,0)</f>
        <v>0</v>
      </c>
      <c r="D9" s="14" t="n">
        <f aca="false">IF(D6&gt;=Assumptions!$B$26,Assumptions!D$34*Assumptions!$B$25*Assumptions!$C$12,0)</f>
        <v>384000</v>
      </c>
      <c r="E9" s="14" t="n">
        <f aca="false">IF(E6&gt;=Assumptions!$B$26,Assumptions!E$34*Assumptions!$B$25*Assumptions!$C$12,0)</f>
        <v>576000</v>
      </c>
      <c r="F9" s="14" t="n">
        <f aca="false">IF(F6&gt;=Assumptions!$B$26,Assumptions!F$34*Assumptions!$B$25*Assumptions!$C$12,0)</f>
        <v>768000</v>
      </c>
    </row>
    <row r="10" customFormat="false" ht="15" hidden="false" customHeight="false" outlineLevel="0" collapsed="false">
      <c r="A10" s="9" t="s">
        <v>119</v>
      </c>
      <c r="B10" s="14" t="n">
        <f aca="false">Assumptions!B$35*Assumptions!$B$27*Assumptions!$C$12</f>
        <v>0</v>
      </c>
      <c r="C10" s="14" t="n">
        <f aca="false">Assumptions!C$35*Assumptions!$B$27*Assumptions!$C$12</f>
        <v>64000</v>
      </c>
      <c r="D10" s="14" t="n">
        <f aca="false">Assumptions!D$35*Assumptions!$B$27*Assumptions!$C$12</f>
        <v>192000</v>
      </c>
      <c r="E10" s="14" t="n">
        <f aca="false">Assumptions!E$35*Assumptions!$B$27*Assumptions!$C$12</f>
        <v>320000</v>
      </c>
      <c r="F10" s="14" t="n">
        <f aca="false">Assumptions!F$35*Assumptions!$B$27*Assumptions!$C$12</f>
        <v>448000</v>
      </c>
    </row>
    <row r="11" customFormat="false" ht="15" hidden="false" customHeight="false" outlineLevel="0" collapsed="false">
      <c r="A11" s="9" t="s">
        <v>120</v>
      </c>
      <c r="B11" s="14" t="n">
        <f aca="false">IF(B6&gt;=Assumptions!$B$29,Assumptions!B$36*Assumptions!$B$28*Assumptions!$C$12,0)</f>
        <v>0</v>
      </c>
      <c r="C11" s="14" t="n">
        <f aca="false">IF(C6&gt;=Assumptions!$B$29,Assumptions!C$36*Assumptions!$B$28*Assumptions!$C$12,0)</f>
        <v>0</v>
      </c>
      <c r="D11" s="14" t="n">
        <f aca="false">IF(D6&gt;=Assumptions!$B$29,Assumptions!D$36*Assumptions!$B$28*Assumptions!$C$12,0)</f>
        <v>0</v>
      </c>
      <c r="E11" s="14" t="n">
        <f aca="false">IF(E6&gt;=Assumptions!$B$29,Assumptions!E$36*Assumptions!$B$28*Assumptions!$C$12,0)</f>
        <v>0</v>
      </c>
      <c r="F11" s="14" t="n">
        <f aca="false">IF(F6&gt;=Assumptions!$B$29,Assumptions!F$36*Assumptions!$B$28*Assumptions!$C$12,0)</f>
        <v>600000</v>
      </c>
    </row>
    <row r="12" customFormat="false" ht="15" hidden="false" customHeight="false" outlineLevel="0" collapsed="false">
      <c r="A12" s="9" t="s">
        <v>121</v>
      </c>
      <c r="B12" s="14" t="n">
        <f aca="false">IF(B6&gt;=Assumptions!$B$30,Assumptions!B$37*Assumptions!$B$28*Assumptions!$C$12,0)</f>
        <v>0</v>
      </c>
      <c r="C12" s="14" t="n">
        <f aca="false">IF(C6&gt;=Assumptions!$B$30,Assumptions!C$37*Assumptions!$B$28*Assumptions!$C$12,0)</f>
        <v>0</v>
      </c>
      <c r="D12" s="14" t="n">
        <f aca="false">IF(D6&gt;=Assumptions!$B$30,Assumptions!D$37*Assumptions!$B$28*Assumptions!$C$12,0)</f>
        <v>0</v>
      </c>
      <c r="E12" s="14" t="n">
        <f aca="false">IF(E6&gt;=Assumptions!$B$30,Assumptions!E$37*Assumptions!$B$28*Assumptions!$C$12,0)</f>
        <v>0</v>
      </c>
      <c r="F12" s="14" t="n">
        <f aca="false">IF(F6&gt;=Assumptions!$B$30,Assumptions!F$37*Assumptions!$B$28*Assumptions!$C$12,0)</f>
        <v>0</v>
      </c>
    </row>
    <row r="13" customFormat="false" ht="15" hidden="false" customHeight="false" outlineLevel="0" collapsed="false">
      <c r="A13" s="24" t="s">
        <v>122</v>
      </c>
      <c r="B13" s="29" t="n">
        <f aca="false">SUM(B7:B12)</f>
        <v>72640</v>
      </c>
      <c r="C13" s="29" t="n">
        <f aca="false">SUM(C7:C12)</f>
        <v>233472</v>
      </c>
      <c r="D13" s="29" t="n">
        <f aca="false">SUM(D7:D12)</f>
        <v>906240</v>
      </c>
      <c r="E13" s="29" t="n">
        <f aca="false">SUM(E7:E12)</f>
        <v>1463040</v>
      </c>
      <c r="F13" s="29" t="n">
        <f aca="false">SUM(F7:F12)</f>
        <v>2654400</v>
      </c>
    </row>
    <row r="14" customFormat="false" ht="15" hidden="false" customHeight="false" outlineLevel="0" collapsed="false">
      <c r="A14" s="9" t="s">
        <v>123</v>
      </c>
      <c r="B14" s="14" t="n">
        <f aca="false">B6*Assumptions!$B$41</f>
        <v>15000</v>
      </c>
      <c r="C14" s="14" t="n">
        <f aca="false">C6*Assumptions!$B$41</f>
        <v>72000</v>
      </c>
      <c r="D14" s="14" t="n">
        <f aca="false">D6*Assumptions!$B$41</f>
        <v>240000</v>
      </c>
      <c r="E14" s="14" t="n">
        <f aca="false">E6*Assumptions!$B$41</f>
        <v>540000</v>
      </c>
      <c r="F14" s="14" t="n">
        <f aca="false">F6*Assumptions!$B$41</f>
        <v>900000</v>
      </c>
    </row>
    <row r="15" customFormat="false" ht="15" hidden="false" customHeight="false" outlineLevel="0" collapsed="false">
      <c r="A15" s="9" t="s">
        <v>124</v>
      </c>
      <c r="B15" s="14" t="n">
        <f aca="false">Assumptions!B$48*Assumptions!$B$42</f>
        <v>800000</v>
      </c>
      <c r="C15" s="14" t="n">
        <f aca="false">Assumptions!C$48*Assumptions!$B$42</f>
        <v>1400000</v>
      </c>
      <c r="D15" s="14" t="n">
        <f aca="false">Assumptions!D$48*Assumptions!$B$42</f>
        <v>2000000</v>
      </c>
      <c r="E15" s="14" t="n">
        <f aca="false">Assumptions!E$48*Assumptions!$B$42</f>
        <v>2600000</v>
      </c>
      <c r="F15" s="14" t="n">
        <f aca="false">Assumptions!F$48*Assumptions!$B$42</f>
        <v>3000000</v>
      </c>
    </row>
    <row r="16" customFormat="false" ht="15" hidden="false" customHeight="false" outlineLevel="0" collapsed="false">
      <c r="A16" s="9" t="s">
        <v>125</v>
      </c>
      <c r="B16" s="14" t="n">
        <f aca="false">Assumptions!$B$43+B6*Assumptions!$B$44</f>
        <v>60750</v>
      </c>
      <c r="C16" s="14" t="n">
        <f aca="false">Assumptions!$B$43+C6*Assumptions!$B$44</f>
        <v>63600</v>
      </c>
      <c r="D16" s="14" t="n">
        <f aca="false">Assumptions!$B$43+D6*Assumptions!$B$44</f>
        <v>72000</v>
      </c>
      <c r="E16" s="14" t="n">
        <f aca="false">Assumptions!$B$43+E6*Assumptions!$B$44</f>
        <v>87000</v>
      </c>
      <c r="F16" s="14" t="n">
        <f aca="false">Assumptions!$B$43+F6*Assumptions!$B$44</f>
        <v>105000</v>
      </c>
    </row>
    <row r="17" customFormat="false" ht="15" hidden="false" customHeight="false" outlineLevel="0" collapsed="false">
      <c r="A17" s="9" t="s">
        <v>126</v>
      </c>
      <c r="B17" s="14" t="n">
        <f aca="false">(B11+B12)*Assumptions!$B$45</f>
        <v>0</v>
      </c>
      <c r="C17" s="14" t="n">
        <f aca="false">(C11+C12)*Assumptions!$B$45</f>
        <v>0</v>
      </c>
      <c r="D17" s="14" t="n">
        <f aca="false">(D11+D12)*Assumptions!$B$45</f>
        <v>0</v>
      </c>
      <c r="E17" s="14" t="n">
        <f aca="false">(E11+E12)*Assumptions!$B$45</f>
        <v>0</v>
      </c>
      <c r="F17" s="14" t="n">
        <f aca="false">(F11+F12)*Assumptions!$B$45</f>
        <v>240000</v>
      </c>
    </row>
    <row r="18" customFormat="false" ht="15" hidden="false" customHeight="false" outlineLevel="0" collapsed="false">
      <c r="A18" s="24" t="s">
        <v>127</v>
      </c>
      <c r="B18" s="29" t="n">
        <f aca="false">SUM(B14:B17)</f>
        <v>875750</v>
      </c>
      <c r="C18" s="29" t="n">
        <f aca="false">SUM(C14:C17)</f>
        <v>1535600</v>
      </c>
      <c r="D18" s="29" t="n">
        <f aca="false">SUM(D14:D17)</f>
        <v>2312000</v>
      </c>
      <c r="E18" s="29" t="n">
        <f aca="false">SUM(E14:E17)</f>
        <v>3227000</v>
      </c>
      <c r="F18" s="29" t="n">
        <f aca="false">SUM(F14:F17)</f>
        <v>4245000</v>
      </c>
    </row>
    <row r="19" customFormat="false" ht="15" hidden="false" customHeight="false" outlineLevel="0" collapsed="false">
      <c r="A19" s="24" t="s">
        <v>128</v>
      </c>
      <c r="B19" s="29" t="n">
        <f aca="false">B13-B18</f>
        <v>-803110</v>
      </c>
      <c r="C19" s="29" t="n">
        <f aca="false">C13-C18</f>
        <v>-1302128</v>
      </c>
      <c r="D19" s="29" t="n">
        <f aca="false">D13-D18</f>
        <v>-1405760</v>
      </c>
      <c r="E19" s="29" t="n">
        <f aca="false">E13-E18</f>
        <v>-1763960</v>
      </c>
      <c r="F19" s="29" t="n">
        <f aca="false">F13-F18</f>
        <v>-1590600</v>
      </c>
    </row>
    <row r="20" customFormat="false" ht="15" hidden="false" customHeight="false" outlineLevel="0" collapsed="false">
      <c r="A20" s="9" t="s">
        <v>129</v>
      </c>
      <c r="B20" s="16" t="n">
        <f aca="false">IF(B13=0,0,B19/B13)</f>
        <v>-11.0560297356828</v>
      </c>
      <c r="C20" s="16" t="n">
        <f aca="false">IF(C13=0,0,C19/C13)</f>
        <v>-5.57723410087719</v>
      </c>
      <c r="D20" s="16" t="n">
        <f aca="false">IF(D13=0,0,D19/D13)</f>
        <v>-1.55120056497175</v>
      </c>
      <c r="E20" s="16" t="n">
        <f aca="false">IF(E13=0,0,E19/E13)</f>
        <v>-1.20568132108486</v>
      </c>
      <c r="F20" s="16" t="n">
        <f aca="false">IF(F13=0,0,F19/F13)</f>
        <v>-0.599231464737794</v>
      </c>
    </row>
    <row r="21" customFormat="false" ht="15" hidden="false" customHeight="false" outlineLevel="0" collapsed="false">
      <c r="A21" s="9" t="s">
        <v>130</v>
      </c>
      <c r="B21" s="14" t="n">
        <f aca="false">B19</f>
        <v>-803110</v>
      </c>
      <c r="C21" s="14" t="n">
        <f aca="false">B21+C19</f>
        <v>-2105238</v>
      </c>
      <c r="D21" s="14" t="n">
        <f aca="false">C21+D19</f>
        <v>-3510998</v>
      </c>
      <c r="E21" s="14" t="n">
        <f aca="false">D21+E19</f>
        <v>-5274958</v>
      </c>
      <c r="F21" s="14" t="n">
        <f aca="false">E21+F19</f>
        <v>-6865558</v>
      </c>
    </row>
    <row r="22" customFormat="false" ht="15" hidden="false" customHeight="false" outlineLevel="0" collapsed="false">
      <c r="A22" s="9" t="s">
        <v>131</v>
      </c>
      <c r="B22" s="15" t="n">
        <f aca="false">IF(B19&gt;0,1,99)</f>
        <v>99</v>
      </c>
      <c r="C22" s="15" t="n">
        <f aca="false">IF(C19&gt;0,2,99)</f>
        <v>99</v>
      </c>
      <c r="D22" s="15" t="n">
        <f aca="false">IF(D19&gt;0,3,99)</f>
        <v>99</v>
      </c>
      <c r="E22" s="15" t="n">
        <f aca="false">IF(E19&gt;0,4,99)</f>
        <v>99</v>
      </c>
      <c r="F22" s="15" t="n">
        <f aca="false">IF(F19&gt;0,5,99)</f>
        <v>99</v>
      </c>
    </row>
    <row r="24" customFormat="false" ht="15" hidden="false" customHeight="false" outlineLevel="0" collapsed="false">
      <c r="A24" s="20" t="s">
        <v>132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7" t="s">
        <v>114</v>
      </c>
      <c r="B25" s="8" t="s">
        <v>67</v>
      </c>
      <c r="C25" s="8" t="s">
        <v>68</v>
      </c>
      <c r="D25" s="8" t="s">
        <v>69</v>
      </c>
      <c r="E25" s="8" t="s">
        <v>70</v>
      </c>
      <c r="F25" s="8" t="s">
        <v>71</v>
      </c>
    </row>
    <row r="26" customFormat="false" ht="15" hidden="false" customHeight="false" outlineLevel="0" collapsed="false">
      <c r="A26" s="9" t="s">
        <v>115</v>
      </c>
      <c r="B26" s="15" t="n">
        <f aca="false">ROUND(Assumptions!B$18*Assumptions!$B$13,0)</f>
        <v>25</v>
      </c>
      <c r="C26" s="15" t="n">
        <f aca="false">ROUND(Assumptions!C$18*Assumptions!$B$13,0)</f>
        <v>120</v>
      </c>
      <c r="D26" s="15" t="n">
        <f aca="false">ROUND(Assumptions!D$18*Assumptions!$B$13,0)</f>
        <v>400</v>
      </c>
      <c r="E26" s="15" t="n">
        <f aca="false">ROUND(Assumptions!E$18*Assumptions!$B$13,0)</f>
        <v>900</v>
      </c>
      <c r="F26" s="15" t="n">
        <f aca="false">ROUND(Assumptions!F$18*Assumptions!$B$13,0)</f>
        <v>1500</v>
      </c>
    </row>
    <row r="27" customFormat="false" ht="15" hidden="false" customHeight="false" outlineLevel="0" collapsed="false">
      <c r="A27" s="9" t="s">
        <v>116</v>
      </c>
      <c r="B27" s="14" t="n">
        <f aca="false">B26*Assumptions!$B$23*Assumptions!$B$22*Assumptions!$C$13</f>
        <v>18000</v>
      </c>
      <c r="C27" s="14" t="n">
        <f aca="false">C26*Assumptions!$B$23*Assumptions!$B$22*Assumptions!$C$13</f>
        <v>86400</v>
      </c>
      <c r="D27" s="14" t="n">
        <f aca="false">D26*Assumptions!$B$23*Assumptions!$B$22*Assumptions!$C$13</f>
        <v>288000</v>
      </c>
      <c r="E27" s="14" t="n">
        <f aca="false">E26*Assumptions!$B$23*Assumptions!$B$22*Assumptions!$C$13</f>
        <v>648000</v>
      </c>
      <c r="F27" s="14" t="n">
        <f aca="false">F26*Assumptions!$B$23*Assumptions!$B$22*Assumptions!$C$13</f>
        <v>1080000</v>
      </c>
    </row>
    <row r="28" customFormat="false" ht="15" hidden="false" customHeight="false" outlineLevel="0" collapsed="false">
      <c r="A28" s="9" t="s">
        <v>117</v>
      </c>
      <c r="B28" s="14" t="n">
        <f aca="false">Assumptions!B$33*Assumptions!$B$24*Assumptions!$C$13</f>
        <v>80000</v>
      </c>
      <c r="C28" s="14" t="n">
        <f aca="false">Assumptions!C$33*Assumptions!$B$24*Assumptions!$C$13</f>
        <v>160000</v>
      </c>
      <c r="D28" s="14" t="n">
        <f aca="false">Assumptions!D$33*Assumptions!$B$24*Assumptions!$C$13</f>
        <v>240000</v>
      </c>
      <c r="E28" s="14" t="n">
        <f aca="false">Assumptions!E$33*Assumptions!$B$24*Assumptions!$C$13</f>
        <v>320000</v>
      </c>
      <c r="F28" s="14" t="n">
        <f aca="false">Assumptions!F$33*Assumptions!$B$24*Assumptions!$C$13</f>
        <v>400000</v>
      </c>
    </row>
    <row r="29" customFormat="false" ht="15" hidden="false" customHeight="false" outlineLevel="0" collapsed="false">
      <c r="A29" s="9" t="s">
        <v>118</v>
      </c>
      <c r="B29" s="14" t="n">
        <f aca="false">IF(B26&gt;=Assumptions!$B$26,Assumptions!B$34*Assumptions!$B$25*Assumptions!$C$13,0)</f>
        <v>0</v>
      </c>
      <c r="C29" s="14" t="n">
        <f aca="false">IF(C26&gt;=Assumptions!$B$26,Assumptions!C$34*Assumptions!$B$25*Assumptions!$C$13,0)</f>
        <v>240000</v>
      </c>
      <c r="D29" s="14" t="n">
        <f aca="false">IF(D26&gt;=Assumptions!$B$26,Assumptions!D$34*Assumptions!$B$25*Assumptions!$C$13,0)</f>
        <v>480000</v>
      </c>
      <c r="E29" s="14" t="n">
        <f aca="false">IF(E26&gt;=Assumptions!$B$26,Assumptions!E$34*Assumptions!$B$25*Assumptions!$C$13,0)</f>
        <v>720000</v>
      </c>
      <c r="F29" s="14" t="n">
        <f aca="false">IF(F26&gt;=Assumptions!$B$26,Assumptions!F$34*Assumptions!$B$25*Assumptions!$C$13,0)</f>
        <v>960000</v>
      </c>
    </row>
    <row r="30" customFormat="false" ht="15" hidden="false" customHeight="false" outlineLevel="0" collapsed="false">
      <c r="A30" s="9" t="s">
        <v>119</v>
      </c>
      <c r="B30" s="14" t="n">
        <f aca="false">Assumptions!B$35*Assumptions!$B$27*Assumptions!$C$13</f>
        <v>0</v>
      </c>
      <c r="C30" s="14" t="n">
        <f aca="false">Assumptions!C$35*Assumptions!$B$27*Assumptions!$C$13</f>
        <v>80000</v>
      </c>
      <c r="D30" s="14" t="n">
        <f aca="false">Assumptions!D$35*Assumptions!$B$27*Assumptions!$C$13</f>
        <v>240000</v>
      </c>
      <c r="E30" s="14" t="n">
        <f aca="false">Assumptions!E$35*Assumptions!$B$27*Assumptions!$C$13</f>
        <v>400000</v>
      </c>
      <c r="F30" s="14" t="n">
        <f aca="false">Assumptions!F$35*Assumptions!$B$27*Assumptions!$C$13</f>
        <v>560000</v>
      </c>
    </row>
    <row r="31" customFormat="false" ht="15" hidden="false" customHeight="false" outlineLevel="0" collapsed="false">
      <c r="A31" s="9" t="s">
        <v>120</v>
      </c>
      <c r="B31" s="14" t="n">
        <f aca="false">IF(B26&gt;=Assumptions!$B$29,Assumptions!B$36*Assumptions!$B$28*Assumptions!$C$13,0)</f>
        <v>0</v>
      </c>
      <c r="C31" s="14" t="n">
        <f aca="false">IF(C26&gt;=Assumptions!$B$29,Assumptions!C$36*Assumptions!$B$28*Assumptions!$C$13,0)</f>
        <v>0</v>
      </c>
      <c r="D31" s="14" t="n">
        <f aca="false">IF(D26&gt;=Assumptions!$B$29,Assumptions!D$36*Assumptions!$B$28*Assumptions!$C$13,0)</f>
        <v>0</v>
      </c>
      <c r="E31" s="14" t="n">
        <f aca="false">IF(E26&gt;=Assumptions!$B$29,Assumptions!E$36*Assumptions!$B$28*Assumptions!$C$13,0)</f>
        <v>500000</v>
      </c>
      <c r="F31" s="14" t="n">
        <f aca="false">IF(F26&gt;=Assumptions!$B$29,Assumptions!F$36*Assumptions!$B$28*Assumptions!$C$13,0)</f>
        <v>750000</v>
      </c>
    </row>
    <row r="32" customFormat="false" ht="15" hidden="false" customHeight="false" outlineLevel="0" collapsed="false">
      <c r="A32" s="9" t="s">
        <v>121</v>
      </c>
      <c r="B32" s="14" t="n">
        <f aca="false">IF(B26&gt;=Assumptions!$B$30,Assumptions!B$37*Assumptions!$B$28*Assumptions!$C$13,0)</f>
        <v>0</v>
      </c>
      <c r="C32" s="14" t="n">
        <f aca="false">IF(C26&gt;=Assumptions!$B$30,Assumptions!C$37*Assumptions!$B$28*Assumptions!$C$13,0)</f>
        <v>0</v>
      </c>
      <c r="D32" s="14" t="n">
        <f aca="false">IF(D26&gt;=Assumptions!$B$30,Assumptions!D$37*Assumptions!$B$28*Assumptions!$C$13,0)</f>
        <v>0</v>
      </c>
      <c r="E32" s="14" t="n">
        <f aca="false">IF(E26&gt;=Assumptions!$B$30,Assumptions!E$37*Assumptions!$B$28*Assumptions!$C$13,0)</f>
        <v>0</v>
      </c>
      <c r="F32" s="14" t="n">
        <f aca="false">IF(F26&gt;=Assumptions!$B$30,Assumptions!F$37*Assumptions!$B$28*Assumptions!$C$13,0)</f>
        <v>500000</v>
      </c>
    </row>
    <row r="33" customFormat="false" ht="15" hidden="false" customHeight="false" outlineLevel="0" collapsed="false">
      <c r="A33" s="24" t="s">
        <v>122</v>
      </c>
      <c r="B33" s="29" t="n">
        <f aca="false">SUM(B27:B32)</f>
        <v>98000</v>
      </c>
      <c r="C33" s="29" t="n">
        <f aca="false">SUM(C27:C32)</f>
        <v>566400</v>
      </c>
      <c r="D33" s="29" t="n">
        <f aca="false">SUM(D27:D32)</f>
        <v>1248000</v>
      </c>
      <c r="E33" s="29" t="n">
        <f aca="false">SUM(E27:E32)</f>
        <v>2588000</v>
      </c>
      <c r="F33" s="29" t="n">
        <f aca="false">SUM(F27:F32)</f>
        <v>4250000</v>
      </c>
    </row>
    <row r="34" customFormat="false" ht="15" hidden="false" customHeight="false" outlineLevel="0" collapsed="false">
      <c r="A34" s="9" t="s">
        <v>123</v>
      </c>
      <c r="B34" s="14" t="n">
        <f aca="false">B26*Assumptions!$B$41</f>
        <v>25000</v>
      </c>
      <c r="C34" s="14" t="n">
        <f aca="false">C26*Assumptions!$B$41</f>
        <v>120000</v>
      </c>
      <c r="D34" s="14" t="n">
        <f aca="false">D26*Assumptions!$B$41</f>
        <v>400000</v>
      </c>
      <c r="E34" s="14" t="n">
        <f aca="false">E26*Assumptions!$B$41</f>
        <v>900000</v>
      </c>
      <c r="F34" s="14" t="n">
        <f aca="false">F26*Assumptions!$B$41</f>
        <v>1500000</v>
      </c>
    </row>
    <row r="35" customFormat="false" ht="15" hidden="false" customHeight="false" outlineLevel="0" collapsed="false">
      <c r="A35" s="9" t="s">
        <v>124</v>
      </c>
      <c r="B35" s="14" t="n">
        <f aca="false">Assumptions!B$48*Assumptions!$B$42</f>
        <v>800000</v>
      </c>
      <c r="C35" s="14" t="n">
        <f aca="false">Assumptions!C$48*Assumptions!$B$42</f>
        <v>1400000</v>
      </c>
      <c r="D35" s="14" t="n">
        <f aca="false">Assumptions!D$48*Assumptions!$B$42</f>
        <v>2000000</v>
      </c>
      <c r="E35" s="14" t="n">
        <f aca="false">Assumptions!E$48*Assumptions!$B$42</f>
        <v>2600000</v>
      </c>
      <c r="F35" s="14" t="n">
        <f aca="false">Assumptions!F$48*Assumptions!$B$42</f>
        <v>3000000</v>
      </c>
    </row>
    <row r="36" customFormat="false" ht="15" hidden="false" customHeight="false" outlineLevel="0" collapsed="false">
      <c r="A36" s="9" t="s">
        <v>125</v>
      </c>
      <c r="B36" s="14" t="n">
        <f aca="false">Assumptions!$B$43+B26*Assumptions!$B$44</f>
        <v>61250</v>
      </c>
      <c r="C36" s="14" t="n">
        <f aca="false">Assumptions!$B$43+C26*Assumptions!$B$44</f>
        <v>66000</v>
      </c>
      <c r="D36" s="14" t="n">
        <f aca="false">Assumptions!$B$43+D26*Assumptions!$B$44</f>
        <v>80000</v>
      </c>
      <c r="E36" s="14" t="n">
        <f aca="false">Assumptions!$B$43+E26*Assumptions!$B$44</f>
        <v>105000</v>
      </c>
      <c r="F36" s="14" t="n">
        <f aca="false">Assumptions!$B$43+F26*Assumptions!$B$44</f>
        <v>135000</v>
      </c>
    </row>
    <row r="37" customFormat="false" ht="15" hidden="false" customHeight="false" outlineLevel="0" collapsed="false">
      <c r="A37" s="9" t="s">
        <v>126</v>
      </c>
      <c r="B37" s="14" t="n">
        <f aca="false">(B31+B32)*Assumptions!$B$45</f>
        <v>0</v>
      </c>
      <c r="C37" s="14" t="n">
        <f aca="false">(C31+C32)*Assumptions!$B$45</f>
        <v>0</v>
      </c>
      <c r="D37" s="14" t="n">
        <f aca="false">(D31+D32)*Assumptions!$B$45</f>
        <v>0</v>
      </c>
      <c r="E37" s="14" t="n">
        <f aca="false">(E31+E32)*Assumptions!$B$45</f>
        <v>200000</v>
      </c>
      <c r="F37" s="14" t="n">
        <f aca="false">(F31+F32)*Assumptions!$B$45</f>
        <v>500000</v>
      </c>
    </row>
    <row r="38" customFormat="false" ht="15" hidden="false" customHeight="false" outlineLevel="0" collapsed="false">
      <c r="A38" s="24" t="s">
        <v>127</v>
      </c>
      <c r="B38" s="29" t="n">
        <f aca="false">SUM(B34:B37)</f>
        <v>886250</v>
      </c>
      <c r="C38" s="29" t="n">
        <f aca="false">SUM(C34:C37)</f>
        <v>1586000</v>
      </c>
      <c r="D38" s="29" t="n">
        <f aca="false">SUM(D34:D37)</f>
        <v>2480000</v>
      </c>
      <c r="E38" s="29" t="n">
        <f aca="false">SUM(E34:E37)</f>
        <v>3805000</v>
      </c>
      <c r="F38" s="29" t="n">
        <f aca="false">SUM(F34:F37)</f>
        <v>5135000</v>
      </c>
    </row>
    <row r="39" customFormat="false" ht="15" hidden="false" customHeight="false" outlineLevel="0" collapsed="false">
      <c r="A39" s="24" t="s">
        <v>128</v>
      </c>
      <c r="B39" s="29" t="n">
        <f aca="false">B33-B38</f>
        <v>-788250</v>
      </c>
      <c r="C39" s="29" t="n">
        <f aca="false">C33-C38</f>
        <v>-1019600</v>
      </c>
      <c r="D39" s="29" t="n">
        <f aca="false">D33-D38</f>
        <v>-1232000</v>
      </c>
      <c r="E39" s="29" t="n">
        <f aca="false">E33-E38</f>
        <v>-1217000</v>
      </c>
      <c r="F39" s="29" t="n">
        <f aca="false">F33-F38</f>
        <v>-885000</v>
      </c>
    </row>
    <row r="40" customFormat="false" ht="15" hidden="false" customHeight="false" outlineLevel="0" collapsed="false">
      <c r="A40" s="9" t="s">
        <v>129</v>
      </c>
      <c r="B40" s="16" t="n">
        <f aca="false">IF(B33=0,0,B39/B33)</f>
        <v>-8.04336734693878</v>
      </c>
      <c r="C40" s="16" t="n">
        <f aca="false">IF(C33=0,0,C39/C33)</f>
        <v>-1.80014124293785</v>
      </c>
      <c r="D40" s="16" t="n">
        <f aca="false">IF(D33=0,0,D39/D33)</f>
        <v>-0.987179487179487</v>
      </c>
      <c r="E40" s="16" t="n">
        <f aca="false">IF(E33=0,0,E39/E33)</f>
        <v>-0.470247295208655</v>
      </c>
      <c r="F40" s="16" t="n">
        <f aca="false">IF(F33=0,0,F39/F33)</f>
        <v>-0.208235294117647</v>
      </c>
    </row>
    <row r="41" customFormat="false" ht="15" hidden="false" customHeight="false" outlineLevel="0" collapsed="false">
      <c r="A41" s="9" t="s">
        <v>130</v>
      </c>
      <c r="B41" s="14" t="n">
        <f aca="false">B39</f>
        <v>-788250</v>
      </c>
      <c r="C41" s="14" t="n">
        <f aca="false">B41+C39</f>
        <v>-1807850</v>
      </c>
      <c r="D41" s="14" t="n">
        <f aca="false">C41+D39</f>
        <v>-3039850</v>
      </c>
      <c r="E41" s="14" t="n">
        <f aca="false">D41+E39</f>
        <v>-4256850</v>
      </c>
      <c r="F41" s="14" t="n">
        <f aca="false">E41+F39</f>
        <v>-5141850</v>
      </c>
    </row>
    <row r="42" customFormat="false" ht="15" hidden="false" customHeight="false" outlineLevel="0" collapsed="false">
      <c r="A42" s="9" t="s">
        <v>131</v>
      </c>
      <c r="B42" s="15" t="n">
        <f aca="false">IF(B39&gt;0,1,99)</f>
        <v>99</v>
      </c>
      <c r="C42" s="15" t="n">
        <f aca="false">IF(C39&gt;0,2,99)</f>
        <v>99</v>
      </c>
      <c r="D42" s="15" t="n">
        <f aca="false">IF(D39&gt;0,3,99)</f>
        <v>99</v>
      </c>
      <c r="E42" s="15" t="n">
        <f aca="false">IF(E39&gt;0,4,99)</f>
        <v>99</v>
      </c>
      <c r="F42" s="15" t="n">
        <f aca="false">IF(F39&gt;0,5,99)</f>
        <v>99</v>
      </c>
    </row>
    <row r="44" customFormat="false" ht="15" hidden="false" customHeight="false" outlineLevel="0" collapsed="false">
      <c r="A44" s="20" t="s">
        <v>133</v>
      </c>
      <c r="B44" s="21"/>
      <c r="C44" s="21"/>
      <c r="D44" s="21"/>
      <c r="E44" s="21"/>
      <c r="F44" s="21"/>
    </row>
    <row r="45" customFormat="false" ht="15" hidden="false" customHeight="false" outlineLevel="0" collapsed="false">
      <c r="A45" s="7" t="s">
        <v>114</v>
      </c>
      <c r="B45" s="8" t="s">
        <v>67</v>
      </c>
      <c r="C45" s="8" t="s">
        <v>68</v>
      </c>
      <c r="D45" s="8" t="s">
        <v>69</v>
      </c>
      <c r="E45" s="8" t="s">
        <v>70</v>
      </c>
      <c r="F45" s="8" t="s">
        <v>71</v>
      </c>
    </row>
    <row r="46" customFormat="false" ht="15" hidden="false" customHeight="false" outlineLevel="0" collapsed="false">
      <c r="A46" s="9" t="s">
        <v>115</v>
      </c>
      <c r="B46" s="15" t="n">
        <f aca="false">ROUND(Assumptions!B$18*Assumptions!$B$14,0)</f>
        <v>33</v>
      </c>
      <c r="C46" s="15" t="n">
        <f aca="false">ROUND(Assumptions!C$18*Assumptions!$B$14,0)</f>
        <v>156</v>
      </c>
      <c r="D46" s="15" t="n">
        <f aca="false">ROUND(Assumptions!D$18*Assumptions!$B$14,0)</f>
        <v>520</v>
      </c>
      <c r="E46" s="15" t="n">
        <f aca="false">ROUND(Assumptions!E$18*Assumptions!$B$14,0)</f>
        <v>1170</v>
      </c>
      <c r="F46" s="15" t="n">
        <f aca="false">ROUND(Assumptions!F$18*Assumptions!$B$14,0)</f>
        <v>1950</v>
      </c>
    </row>
    <row r="47" customFormat="false" ht="15" hidden="false" customHeight="false" outlineLevel="0" collapsed="false">
      <c r="A47" s="9" t="s">
        <v>116</v>
      </c>
      <c r="B47" s="14" t="n">
        <f aca="false">B46*Assumptions!$B$23*Assumptions!$B$22*Assumptions!$C$14</f>
        <v>27324</v>
      </c>
      <c r="C47" s="14" t="n">
        <f aca="false">C46*Assumptions!$B$23*Assumptions!$B$22*Assumptions!$C$14</f>
        <v>129168</v>
      </c>
      <c r="D47" s="14" t="n">
        <f aca="false">D46*Assumptions!$B$23*Assumptions!$B$22*Assumptions!$C$14</f>
        <v>430560</v>
      </c>
      <c r="E47" s="14" t="n">
        <f aca="false">E46*Assumptions!$B$23*Assumptions!$B$22*Assumptions!$C$14</f>
        <v>968760</v>
      </c>
      <c r="F47" s="14" t="n">
        <f aca="false">F46*Assumptions!$B$23*Assumptions!$B$22*Assumptions!$C$14</f>
        <v>1614600</v>
      </c>
    </row>
    <row r="48" customFormat="false" ht="15" hidden="false" customHeight="false" outlineLevel="0" collapsed="false">
      <c r="A48" s="9" t="s">
        <v>117</v>
      </c>
      <c r="B48" s="14" t="n">
        <f aca="false">Assumptions!B$33*Assumptions!$B$24*Assumptions!$C$14</f>
        <v>92000</v>
      </c>
      <c r="C48" s="14" t="n">
        <f aca="false">Assumptions!C$33*Assumptions!$B$24*Assumptions!$C$14</f>
        <v>184000</v>
      </c>
      <c r="D48" s="14" t="n">
        <f aca="false">Assumptions!D$33*Assumptions!$B$24*Assumptions!$C$14</f>
        <v>276000</v>
      </c>
      <c r="E48" s="14" t="n">
        <f aca="false">Assumptions!E$33*Assumptions!$B$24*Assumptions!$C$14</f>
        <v>368000</v>
      </c>
      <c r="F48" s="14" t="n">
        <f aca="false">Assumptions!F$33*Assumptions!$B$24*Assumptions!$C$14</f>
        <v>460000</v>
      </c>
    </row>
    <row r="49" customFormat="false" ht="15" hidden="false" customHeight="false" outlineLevel="0" collapsed="false">
      <c r="A49" s="9" t="s">
        <v>118</v>
      </c>
      <c r="B49" s="14" t="n">
        <f aca="false">IF(B46&gt;=Assumptions!$B$26,Assumptions!B$34*Assumptions!$B$25*Assumptions!$C$14,0)</f>
        <v>0</v>
      </c>
      <c r="C49" s="14" t="n">
        <f aca="false">IF(C46&gt;=Assumptions!$B$26,Assumptions!C$34*Assumptions!$B$25*Assumptions!$C$14,0)</f>
        <v>276000</v>
      </c>
      <c r="D49" s="14" t="n">
        <f aca="false">IF(D46&gt;=Assumptions!$B$26,Assumptions!D$34*Assumptions!$B$25*Assumptions!$C$14,0)</f>
        <v>552000</v>
      </c>
      <c r="E49" s="14" t="n">
        <f aca="false">IF(E46&gt;=Assumptions!$B$26,Assumptions!E$34*Assumptions!$B$25*Assumptions!$C$14,0)</f>
        <v>828000</v>
      </c>
      <c r="F49" s="14" t="n">
        <f aca="false">IF(F46&gt;=Assumptions!$B$26,Assumptions!F$34*Assumptions!$B$25*Assumptions!$C$14,0)</f>
        <v>1104000</v>
      </c>
    </row>
    <row r="50" customFormat="false" ht="15" hidden="false" customHeight="false" outlineLevel="0" collapsed="false">
      <c r="A50" s="9" t="s">
        <v>119</v>
      </c>
      <c r="B50" s="14" t="n">
        <f aca="false">Assumptions!B$35*Assumptions!$B$27*Assumptions!$C$14</f>
        <v>0</v>
      </c>
      <c r="C50" s="14" t="n">
        <f aca="false">Assumptions!C$35*Assumptions!$B$27*Assumptions!$C$14</f>
        <v>92000</v>
      </c>
      <c r="D50" s="14" t="n">
        <f aca="false">Assumptions!D$35*Assumptions!$B$27*Assumptions!$C$14</f>
        <v>276000</v>
      </c>
      <c r="E50" s="14" t="n">
        <f aca="false">Assumptions!E$35*Assumptions!$B$27*Assumptions!$C$14</f>
        <v>460000</v>
      </c>
      <c r="F50" s="14" t="n">
        <f aca="false">Assumptions!F$35*Assumptions!$B$27*Assumptions!$C$14</f>
        <v>644000</v>
      </c>
    </row>
    <row r="51" customFormat="false" ht="15" hidden="false" customHeight="false" outlineLevel="0" collapsed="false">
      <c r="A51" s="9" t="s">
        <v>120</v>
      </c>
      <c r="B51" s="14" t="n">
        <f aca="false">IF(B46&gt;=Assumptions!$B$29,Assumptions!B$36*Assumptions!$B$28*Assumptions!$C$14,0)</f>
        <v>0</v>
      </c>
      <c r="C51" s="14" t="n">
        <f aca="false">IF(C46&gt;=Assumptions!$B$29,Assumptions!C$36*Assumptions!$B$28*Assumptions!$C$14,0)</f>
        <v>0</v>
      </c>
      <c r="D51" s="14" t="n">
        <f aca="false">IF(D46&gt;=Assumptions!$B$29,Assumptions!D$36*Assumptions!$B$28*Assumptions!$C$14,0)</f>
        <v>0</v>
      </c>
      <c r="E51" s="14" t="n">
        <f aca="false">IF(E46&gt;=Assumptions!$B$29,Assumptions!E$36*Assumptions!$B$28*Assumptions!$C$14,0)</f>
        <v>575000</v>
      </c>
      <c r="F51" s="14" t="n">
        <f aca="false">IF(F46&gt;=Assumptions!$B$29,Assumptions!F$36*Assumptions!$B$28*Assumptions!$C$14,0)</f>
        <v>862500</v>
      </c>
    </row>
    <row r="52" customFormat="false" ht="15" hidden="false" customHeight="false" outlineLevel="0" collapsed="false">
      <c r="A52" s="9" t="s">
        <v>121</v>
      </c>
      <c r="B52" s="14" t="n">
        <f aca="false">IF(B46&gt;=Assumptions!$B$30,Assumptions!B$37*Assumptions!$B$28*Assumptions!$C$14,0)</f>
        <v>0</v>
      </c>
      <c r="C52" s="14" t="n">
        <f aca="false">IF(C46&gt;=Assumptions!$B$30,Assumptions!C$37*Assumptions!$B$28*Assumptions!$C$14,0)</f>
        <v>0</v>
      </c>
      <c r="D52" s="14" t="n">
        <f aca="false">IF(D46&gt;=Assumptions!$B$30,Assumptions!D$37*Assumptions!$B$28*Assumptions!$C$14,0)</f>
        <v>0</v>
      </c>
      <c r="E52" s="14" t="n">
        <f aca="false">IF(E46&gt;=Assumptions!$B$30,Assumptions!E$37*Assumptions!$B$28*Assumptions!$C$14,0)</f>
        <v>287500</v>
      </c>
      <c r="F52" s="14" t="n">
        <f aca="false">IF(F46&gt;=Assumptions!$B$30,Assumptions!F$37*Assumptions!$B$28*Assumptions!$C$14,0)</f>
        <v>575000</v>
      </c>
    </row>
    <row r="53" customFormat="false" ht="15" hidden="false" customHeight="false" outlineLevel="0" collapsed="false">
      <c r="A53" s="24" t="s">
        <v>122</v>
      </c>
      <c r="B53" s="29" t="n">
        <f aca="false">SUM(B47:B52)</f>
        <v>119324</v>
      </c>
      <c r="C53" s="29" t="n">
        <f aca="false">SUM(C47:C52)</f>
        <v>681168</v>
      </c>
      <c r="D53" s="29" t="n">
        <f aca="false">SUM(D47:D52)</f>
        <v>1534560</v>
      </c>
      <c r="E53" s="29" t="n">
        <f aca="false">SUM(E47:E52)</f>
        <v>3487260</v>
      </c>
      <c r="F53" s="29" t="n">
        <f aca="false">SUM(F47:F52)</f>
        <v>5260100</v>
      </c>
    </row>
    <row r="54" customFormat="false" ht="15" hidden="false" customHeight="false" outlineLevel="0" collapsed="false">
      <c r="A54" s="9" t="s">
        <v>123</v>
      </c>
      <c r="B54" s="14" t="n">
        <f aca="false">B46*Assumptions!$B$41</f>
        <v>33000</v>
      </c>
      <c r="C54" s="14" t="n">
        <f aca="false">C46*Assumptions!$B$41</f>
        <v>156000</v>
      </c>
      <c r="D54" s="14" t="n">
        <f aca="false">D46*Assumptions!$B$41</f>
        <v>520000</v>
      </c>
      <c r="E54" s="14" t="n">
        <f aca="false">E46*Assumptions!$B$41</f>
        <v>1170000</v>
      </c>
      <c r="F54" s="14" t="n">
        <f aca="false">F46*Assumptions!$B$41</f>
        <v>1950000</v>
      </c>
    </row>
    <row r="55" customFormat="false" ht="15" hidden="false" customHeight="false" outlineLevel="0" collapsed="false">
      <c r="A55" s="9" t="s">
        <v>124</v>
      </c>
      <c r="B55" s="14" t="n">
        <f aca="false">Assumptions!B$48*Assumptions!$B$42</f>
        <v>800000</v>
      </c>
      <c r="C55" s="14" t="n">
        <f aca="false">Assumptions!C$48*Assumptions!$B$42</f>
        <v>1400000</v>
      </c>
      <c r="D55" s="14" t="n">
        <f aca="false">Assumptions!D$48*Assumptions!$B$42</f>
        <v>2000000</v>
      </c>
      <c r="E55" s="14" t="n">
        <f aca="false">Assumptions!E$48*Assumptions!$B$42</f>
        <v>2600000</v>
      </c>
      <c r="F55" s="14" t="n">
        <f aca="false">Assumptions!F$48*Assumptions!$B$42</f>
        <v>3000000</v>
      </c>
    </row>
    <row r="56" customFormat="false" ht="15" hidden="false" customHeight="false" outlineLevel="0" collapsed="false">
      <c r="A56" s="9" t="s">
        <v>125</v>
      </c>
      <c r="B56" s="14" t="n">
        <f aca="false">Assumptions!$B$43+B46*Assumptions!$B$44</f>
        <v>61650</v>
      </c>
      <c r="C56" s="14" t="n">
        <f aca="false">Assumptions!$B$43+C46*Assumptions!$B$44</f>
        <v>67800</v>
      </c>
      <c r="D56" s="14" t="n">
        <f aca="false">Assumptions!$B$43+D46*Assumptions!$B$44</f>
        <v>86000</v>
      </c>
      <c r="E56" s="14" t="n">
        <f aca="false">Assumptions!$B$43+E46*Assumptions!$B$44</f>
        <v>118500</v>
      </c>
      <c r="F56" s="14" t="n">
        <f aca="false">Assumptions!$B$43+F46*Assumptions!$B$44</f>
        <v>157500</v>
      </c>
    </row>
    <row r="57" customFormat="false" ht="15" hidden="false" customHeight="false" outlineLevel="0" collapsed="false">
      <c r="A57" s="9" t="s">
        <v>126</v>
      </c>
      <c r="B57" s="14" t="n">
        <f aca="false">(B51+B52)*Assumptions!$B$45</f>
        <v>0</v>
      </c>
      <c r="C57" s="14" t="n">
        <f aca="false">(C51+C52)*Assumptions!$B$45</f>
        <v>0</v>
      </c>
      <c r="D57" s="14" t="n">
        <f aca="false">(D51+D52)*Assumptions!$B$45</f>
        <v>0</v>
      </c>
      <c r="E57" s="14" t="n">
        <f aca="false">(E51+E52)*Assumptions!$B$45</f>
        <v>345000</v>
      </c>
      <c r="F57" s="14" t="n">
        <f aca="false">(F51+F52)*Assumptions!$B$45</f>
        <v>575000</v>
      </c>
    </row>
    <row r="58" customFormat="false" ht="15" hidden="false" customHeight="false" outlineLevel="0" collapsed="false">
      <c r="A58" s="24" t="s">
        <v>127</v>
      </c>
      <c r="B58" s="29" t="n">
        <f aca="false">SUM(B54:B57)</f>
        <v>894650</v>
      </c>
      <c r="C58" s="29" t="n">
        <f aca="false">SUM(C54:C57)</f>
        <v>1623800</v>
      </c>
      <c r="D58" s="29" t="n">
        <f aca="false">SUM(D54:D57)</f>
        <v>2606000</v>
      </c>
      <c r="E58" s="29" t="n">
        <f aca="false">SUM(E54:E57)</f>
        <v>4233500</v>
      </c>
      <c r="F58" s="29" t="n">
        <f aca="false">SUM(F54:F57)</f>
        <v>5682500</v>
      </c>
    </row>
    <row r="59" customFormat="false" ht="15" hidden="false" customHeight="false" outlineLevel="0" collapsed="false">
      <c r="A59" s="24" t="s">
        <v>128</v>
      </c>
      <c r="B59" s="29" t="n">
        <f aca="false">B53-B58</f>
        <v>-775326</v>
      </c>
      <c r="C59" s="29" t="n">
        <f aca="false">C53-C58</f>
        <v>-942632</v>
      </c>
      <c r="D59" s="29" t="n">
        <f aca="false">D53-D58</f>
        <v>-1071440</v>
      </c>
      <c r="E59" s="29" t="n">
        <f aca="false">E53-E58</f>
        <v>-746240.000000001</v>
      </c>
      <c r="F59" s="29" t="n">
        <f aca="false">F53-F58</f>
        <v>-422400</v>
      </c>
    </row>
    <row r="60" customFormat="false" ht="15" hidden="false" customHeight="false" outlineLevel="0" collapsed="false">
      <c r="A60" s="9" t="s">
        <v>129</v>
      </c>
      <c r="B60" s="16" t="n">
        <f aca="false">IF(B53=0,0,B59/B53)</f>
        <v>-6.49765344775569</v>
      </c>
      <c r="C60" s="16" t="n">
        <f aca="false">IF(C53=0,0,C59/C53)</f>
        <v>-1.38384656942193</v>
      </c>
      <c r="D60" s="16" t="n">
        <f aca="false">IF(D53=0,0,D59/D53)</f>
        <v>-0.698206652069649</v>
      </c>
      <c r="E60" s="16" t="n">
        <f aca="false">IF(E53=0,0,E59/E53)</f>
        <v>-0.213990353458016</v>
      </c>
      <c r="F60" s="16" t="n">
        <f aca="false">IF(F53=0,0,F59/F53)</f>
        <v>-0.0803026558430448</v>
      </c>
    </row>
    <row r="61" customFormat="false" ht="15" hidden="false" customHeight="false" outlineLevel="0" collapsed="false">
      <c r="A61" s="9" t="s">
        <v>130</v>
      </c>
      <c r="B61" s="14" t="n">
        <f aca="false">B59</f>
        <v>-775326</v>
      </c>
      <c r="C61" s="14" t="n">
        <f aca="false">B61+C59</f>
        <v>-1717958</v>
      </c>
      <c r="D61" s="14" t="n">
        <f aca="false">C61+D59</f>
        <v>-2789398</v>
      </c>
      <c r="E61" s="14" t="n">
        <f aca="false">D61+E59</f>
        <v>-3535638</v>
      </c>
      <c r="F61" s="14" t="n">
        <f aca="false">E61+F59</f>
        <v>-3958038</v>
      </c>
    </row>
    <row r="62" customFormat="false" ht="15" hidden="false" customHeight="false" outlineLevel="0" collapsed="false">
      <c r="A62" s="9" t="s">
        <v>131</v>
      </c>
      <c r="B62" s="15" t="n">
        <f aca="false">IF(B59&gt;0,1,99)</f>
        <v>99</v>
      </c>
      <c r="C62" s="15" t="n">
        <f aca="false">IF(C59&gt;0,2,99)</f>
        <v>99</v>
      </c>
      <c r="D62" s="15" t="n">
        <f aca="false">IF(D59&gt;0,3,99)</f>
        <v>99</v>
      </c>
      <c r="E62" s="15" t="n">
        <f aca="false">IF(E59&gt;0,4,99)</f>
        <v>99</v>
      </c>
      <c r="F62" s="15" t="n">
        <f aca="false">IF(F59&gt;0,5,99)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2026-10-02T05:37:05Z</dcterms:created>
  <dc:creator>openpyxl</dc:creator>
  <dc:description/>
  <dc:language>en-US</dc:language>
  <cp:lastModifiedBy/>
  <dcterms:modified xsi:type="dcterms:W3CDTF">2026-10-02T05:37:05Z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